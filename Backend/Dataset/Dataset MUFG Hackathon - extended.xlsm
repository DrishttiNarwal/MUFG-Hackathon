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/>
  <workbookPr defaultThemeVersion="202300"/>
  <mc:AlternateContent xmlns:mc="http://schemas.openxmlformats.org/markup-compatibility/2006">
    <mc:Choice Requires="x15">
      <x15ac:absPath xmlns:x15ac="http://schemas.microsoft.com/office/spreadsheetml/2010/11/ac" url="D:\MUFG-Hackathon\"/>
    </mc:Choice>
  </mc:AlternateContent>
  <xr:revisionPtr revIDLastSave="0" documentId="13_ncr:1_{249EE2F6-F833-4B10-894D-EA08EC9D4FC0}" xr6:coauthVersionLast="47" xr6:coauthVersionMax="47" xr10:uidLastSave="{00000000-0000-0000-0000-000000000000}"/>
  <bookViews>
    <workbookView xWindow="-98" yWindow="-98" windowWidth="21795" windowHeight="12975" xr2:uid="{5372B862-CD3E-4F05-9C96-2458ECA188D0}"/>
  </bookViews>
  <sheets>
    <sheet name="australia_insurance_extended_mo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998" i="1" l="1"/>
  <c r="O995" i="1"/>
  <c r="O985" i="1"/>
  <c r="O977" i="1"/>
  <c r="O961" i="1"/>
  <c r="O948" i="1"/>
  <c r="O934" i="1"/>
  <c r="O927" i="1"/>
  <c r="O923" i="1"/>
  <c r="O915" i="1"/>
  <c r="O908" i="1"/>
  <c r="O897" i="1"/>
  <c r="O888" i="1"/>
  <c r="O879" i="1"/>
  <c r="O868" i="1"/>
  <c r="O863" i="1"/>
  <c r="O862" i="1"/>
  <c r="O858" i="1"/>
  <c r="O855" i="1"/>
  <c r="O847" i="1"/>
  <c r="O835" i="1"/>
  <c r="O826" i="1"/>
  <c r="O804" i="1"/>
  <c r="O800" i="1"/>
  <c r="O788" i="1"/>
  <c r="O786" i="1"/>
  <c r="O779" i="1"/>
  <c r="O769" i="1"/>
  <c r="O768" i="1"/>
  <c r="O763" i="1"/>
  <c r="O755" i="1"/>
  <c r="O745" i="1"/>
  <c r="O729" i="1"/>
  <c r="O727" i="1"/>
  <c r="O711" i="1"/>
  <c r="O709" i="1"/>
  <c r="O694" i="1"/>
  <c r="O690" i="1"/>
  <c r="O687" i="1"/>
  <c r="O680" i="1"/>
  <c r="O679" i="1"/>
  <c r="O672" i="1"/>
  <c r="O669" i="1"/>
  <c r="O665" i="1"/>
  <c r="O658" i="1"/>
  <c r="O651" i="1"/>
  <c r="O644" i="1"/>
  <c r="O602" i="1"/>
  <c r="O582" i="1"/>
  <c r="O580" i="1"/>
  <c r="O558" i="1"/>
  <c r="O554" i="1"/>
  <c r="O547" i="1"/>
  <c r="O537" i="1"/>
  <c r="O532" i="1"/>
  <c r="O515" i="1"/>
  <c r="O487" i="1"/>
  <c r="O483" i="1"/>
  <c r="O475" i="1"/>
  <c r="O456" i="1"/>
  <c r="O447" i="1"/>
  <c r="O443" i="1"/>
  <c r="O425" i="1"/>
  <c r="O394" i="1"/>
  <c r="O377" i="1"/>
  <c r="O368" i="1"/>
  <c r="O361" i="1"/>
  <c r="O350" i="1"/>
  <c r="O338" i="1"/>
  <c r="O328" i="1"/>
  <c r="O327" i="1"/>
  <c r="O317" i="1"/>
  <c r="O316" i="1"/>
  <c r="O306" i="1"/>
  <c r="O305" i="1"/>
  <c r="O304" i="1"/>
  <c r="O291" i="1"/>
  <c r="O264" i="1"/>
  <c r="O248" i="1"/>
  <c r="O233" i="1"/>
  <c r="O194" i="1"/>
  <c r="O174" i="1"/>
  <c r="O170" i="1"/>
  <c r="O167" i="1"/>
  <c r="O165" i="1"/>
  <c r="O157" i="1"/>
  <c r="O148" i="1"/>
  <c r="O146" i="1"/>
  <c r="O140" i="1"/>
  <c r="O137" i="1"/>
  <c r="O128" i="1"/>
  <c r="O115" i="1"/>
  <c r="O65" i="1"/>
  <c r="O57" i="1"/>
  <c r="O54" i="1"/>
  <c r="O44" i="1"/>
  <c r="O35" i="1"/>
  <c r="O12" i="1"/>
  <c r="O4" i="1"/>
</calcChain>
</file>

<file path=xl/sharedStrings.xml><?xml version="1.0" encoding="utf-8"?>
<sst xmlns="http://schemas.openxmlformats.org/spreadsheetml/2006/main" count="9733" uniqueCount="4735">
  <si>
    <t>Customer Name</t>
  </si>
  <si>
    <t>Age</t>
  </si>
  <si>
    <t>State</t>
  </si>
  <si>
    <t>Insurance Type</t>
  </si>
  <si>
    <t>Annual Premium (AUD)</t>
  </si>
  <si>
    <t>Claim Amount (AUD)</t>
  </si>
  <si>
    <t>Claim Status</t>
  </si>
  <si>
    <t>Policy Start Date</t>
  </si>
  <si>
    <t>Policy End Date</t>
  </si>
  <si>
    <t>Policy Number</t>
  </si>
  <si>
    <t>Product Tier</t>
  </si>
  <si>
    <t>Payment Frequency</t>
  </si>
  <si>
    <t>Risk Score</t>
  </si>
  <si>
    <t>Email</t>
  </si>
  <si>
    <t>Phone</t>
  </si>
  <si>
    <t>Agent Name</t>
  </si>
  <si>
    <t>Caitlin Henderson</t>
  </si>
  <si>
    <t>NT</t>
  </si>
  <si>
    <t>Home</t>
  </si>
  <si>
    <t>Approved</t>
  </si>
  <si>
    <t>POL1652758</t>
  </si>
  <si>
    <t>Standard</t>
  </si>
  <si>
    <t>Monthly</t>
  </si>
  <si>
    <t>campbellkevin@jones-ochoa.com</t>
  </si>
  <si>
    <t>Kevin Weber</t>
  </si>
  <si>
    <t>George Owen</t>
  </si>
  <si>
    <t>ACT</t>
  </si>
  <si>
    <t>POL8979002</t>
  </si>
  <si>
    <t>Basic</t>
  </si>
  <si>
    <t>clarkrichard@hotmail.com.au</t>
  </si>
  <si>
    <t>Robert Rodriguez</t>
  </si>
  <si>
    <t>Mrs. Sarah Smith MD</t>
  </si>
  <si>
    <t>TAS</t>
  </si>
  <si>
    <t>Life</t>
  </si>
  <si>
    <t>POL5299120</t>
  </si>
  <si>
    <t>Gold</t>
  </si>
  <si>
    <t>Annually</t>
  </si>
  <si>
    <t>cassandra71@hendrix.biz</t>
  </si>
  <si>
    <t>Ashley Jenkins</t>
  </si>
  <si>
    <t>Katelyn Wilson</t>
  </si>
  <si>
    <t>SA</t>
  </si>
  <si>
    <t>Health</t>
  </si>
  <si>
    <t>POL6474551</t>
  </si>
  <si>
    <t>Quarterly</t>
  </si>
  <si>
    <t>james54@hotmail.com.au</t>
  </si>
  <si>
    <t>08 0512 5378</t>
  </si>
  <si>
    <t>Traci Fritz</t>
  </si>
  <si>
    <t>Danielle Arnold</t>
  </si>
  <si>
    <t>WA</t>
  </si>
  <si>
    <t>POL3953756</t>
  </si>
  <si>
    <t>Premium</t>
  </si>
  <si>
    <t>amandarodriguez@hotmail.com.au</t>
  </si>
  <si>
    <t>2062 5300</t>
  </si>
  <si>
    <t>Christine Ross</t>
  </si>
  <si>
    <t>James Aguirre</t>
  </si>
  <si>
    <t>QLD</t>
  </si>
  <si>
    <t>POL2213526</t>
  </si>
  <si>
    <t>samantha53@hotmail.com.au</t>
  </si>
  <si>
    <t>+61 408 693 353</t>
  </si>
  <si>
    <t>Kayla Schultz</t>
  </si>
  <si>
    <t>Angelica Kelly</t>
  </si>
  <si>
    <t>POL5594618</t>
  </si>
  <si>
    <t>anthony56@yahoo.com</t>
  </si>
  <si>
    <t>02-6249-8667</t>
  </si>
  <si>
    <t>Devon Collier</t>
  </si>
  <si>
    <t>Alexander Wood</t>
  </si>
  <si>
    <t>VIC</t>
  </si>
  <si>
    <t>Travel</t>
  </si>
  <si>
    <t>POL4741556</t>
  </si>
  <si>
    <t>edwardbenson@yahoo.com</t>
  </si>
  <si>
    <t>0439-064-956</t>
  </si>
  <si>
    <t>James Nolan</t>
  </si>
  <si>
    <t>Katherine Hudson</t>
  </si>
  <si>
    <t>POL4371613</t>
  </si>
  <si>
    <t>gwhite@yahoo.com</t>
  </si>
  <si>
    <t>+61.8.8660.1334</t>
  </si>
  <si>
    <t>Amanda Hall</t>
  </si>
  <si>
    <t>Neil Rivera</t>
  </si>
  <si>
    <t>POL9134872</t>
  </si>
  <si>
    <t>oyoung@taylor-miller.org.au</t>
  </si>
  <si>
    <t>03-7464-8458</t>
  </si>
  <si>
    <t>Joseph Mitchell</t>
  </si>
  <si>
    <t>Derrick Miller</t>
  </si>
  <si>
    <t>NSW</t>
  </si>
  <si>
    <t>Car</t>
  </si>
  <si>
    <t>Rejected</t>
  </si>
  <si>
    <t>POL2804149</t>
  </si>
  <si>
    <t>angela19@hotmail.com.au</t>
  </si>
  <si>
    <t>Michael Costa DDS</t>
  </si>
  <si>
    <t>Carl Simpson</t>
  </si>
  <si>
    <t>POL3943479</t>
  </si>
  <si>
    <t>albertcurry@scott.edu</t>
  </si>
  <si>
    <t>Samantha Casey</t>
  </si>
  <si>
    <t>Bethany Adkins</t>
  </si>
  <si>
    <t>POL6191062</t>
  </si>
  <si>
    <t>lshort@powell.info</t>
  </si>
  <si>
    <t>08.1357.5759</t>
  </si>
  <si>
    <t>Christopher Oliver</t>
  </si>
  <si>
    <t>Kayla Rodriguez</t>
  </si>
  <si>
    <t>POL5210103</t>
  </si>
  <si>
    <t>xfreeman@yahoo.com</t>
  </si>
  <si>
    <t>0467 646 027</t>
  </si>
  <si>
    <t>Sandra Knox</t>
  </si>
  <si>
    <t>Dennis Smith</t>
  </si>
  <si>
    <t>Pending</t>
  </si>
  <si>
    <t>POL8818225</t>
  </si>
  <si>
    <t>megan23@hotmail.com.au</t>
  </si>
  <si>
    <t>Anna Hess</t>
  </si>
  <si>
    <t>Jeremy Walker</t>
  </si>
  <si>
    <t>POL8420798</t>
  </si>
  <si>
    <t>dford@smith-wilson.edu</t>
  </si>
  <si>
    <t>8004 5717</t>
  </si>
  <si>
    <t>Anna Cannon</t>
  </si>
  <si>
    <t>Elizabeth Johnson</t>
  </si>
  <si>
    <t>POL4286111</t>
  </si>
  <si>
    <t>owensmelissa@yahoo.com.au</t>
  </si>
  <si>
    <t>+61 435 994 802</t>
  </si>
  <si>
    <t>Jeffrey Potts</t>
  </si>
  <si>
    <t>Eric Terry</t>
  </si>
  <si>
    <t>POL8502375</t>
  </si>
  <si>
    <t>mcdanieleric@downs.net</t>
  </si>
  <si>
    <t>+61.499.861.636</t>
  </si>
  <si>
    <t>Jonathan Sandoval</t>
  </si>
  <si>
    <t>Laura Manning</t>
  </si>
  <si>
    <t>POL6178532</t>
  </si>
  <si>
    <t>jonathan28@yahoo.com.au</t>
  </si>
  <si>
    <t>(03)-3735-7577</t>
  </si>
  <si>
    <t>Laura Elliott</t>
  </si>
  <si>
    <t>Kenneth Howard</t>
  </si>
  <si>
    <t>POL7574713</t>
  </si>
  <si>
    <t>desiree25@thomas.org.au</t>
  </si>
  <si>
    <t>07 5437 5927</t>
  </si>
  <si>
    <t>Ms. Sarah Gilbert</t>
  </si>
  <si>
    <t>Kelly Myers</t>
  </si>
  <si>
    <t>POL3703833</t>
  </si>
  <si>
    <t>wallerjanet@yahoo.com</t>
  </si>
  <si>
    <t>9732 6783</t>
  </si>
  <si>
    <t>Tara Rios</t>
  </si>
  <si>
    <t>Justin Mcknight</t>
  </si>
  <si>
    <t>POL6093008</t>
  </si>
  <si>
    <t>bcoleman@robinson-hale.net</t>
  </si>
  <si>
    <t>Anthony Keith</t>
  </si>
  <si>
    <t>Stanley Wheeler</t>
  </si>
  <si>
    <t>POL8037438</t>
  </si>
  <si>
    <t>martinezfernando@jackson.net</t>
  </si>
  <si>
    <t>0430.572.056</t>
  </si>
  <si>
    <t>Abigail Lee</t>
  </si>
  <si>
    <t>Justin Scott</t>
  </si>
  <si>
    <t>POL4715131</t>
  </si>
  <si>
    <t>aaronmartinez@hotmail.com.au</t>
  </si>
  <si>
    <t>(08)-9341-9315</t>
  </si>
  <si>
    <t>Eugene Harris</t>
  </si>
  <si>
    <t>Brian Harris</t>
  </si>
  <si>
    <t>POL6770753</t>
  </si>
  <si>
    <t>christinedennis@hotmail.com.au</t>
  </si>
  <si>
    <t>(02)73877949</t>
  </si>
  <si>
    <t>Aaron Johnson</t>
  </si>
  <si>
    <t>Wayne Valentine</t>
  </si>
  <si>
    <t>POL5911651</t>
  </si>
  <si>
    <t>garciaheather@myers-cruz.org.au</t>
  </si>
  <si>
    <t>+61.7.5659.6329</t>
  </si>
  <si>
    <t>Jeffrey Bullock</t>
  </si>
  <si>
    <t>Suzanne Carter</t>
  </si>
  <si>
    <t>POL2826169</t>
  </si>
  <si>
    <t>amandawallace@hotmail.com</t>
  </si>
  <si>
    <t>6768 8709</t>
  </si>
  <si>
    <t>Lisa Anderson</t>
  </si>
  <si>
    <t>Brandon Melton</t>
  </si>
  <si>
    <t>POL6992140</t>
  </si>
  <si>
    <t>wilsonanthony@hotmail.com.au</t>
  </si>
  <si>
    <t>0484 492 289</t>
  </si>
  <si>
    <t>Lisa Smith</t>
  </si>
  <si>
    <t>Allen Barker</t>
  </si>
  <si>
    <t>POL5580338</t>
  </si>
  <si>
    <t>cervantesmelanie@gmail.com</t>
  </si>
  <si>
    <t>(02) 1266 9522</t>
  </si>
  <si>
    <t>Mary Parks</t>
  </si>
  <si>
    <t>Tammy Bryant</t>
  </si>
  <si>
    <t>POL5042316</t>
  </si>
  <si>
    <t>brendaharrison@galloway-torres.edu</t>
  </si>
  <si>
    <t>0441-771-736</t>
  </si>
  <si>
    <t>Cynthia Avery</t>
  </si>
  <si>
    <t>Maria Anderson</t>
  </si>
  <si>
    <t>POL2333615</t>
  </si>
  <si>
    <t>beardnathaniel@williams.org.au</t>
  </si>
  <si>
    <t>08 3642 4090</t>
  </si>
  <si>
    <t>Matthew Myers</t>
  </si>
  <si>
    <t>Steven Conner</t>
  </si>
  <si>
    <t>POL8327458</t>
  </si>
  <si>
    <t>teresa66@wells.org</t>
  </si>
  <si>
    <t>(07)-1813-2645</t>
  </si>
  <si>
    <t>Ronald Wood</t>
  </si>
  <si>
    <t>Timothy Melton</t>
  </si>
  <si>
    <t>POL3932602</t>
  </si>
  <si>
    <t>austincombs@gmail.com</t>
  </si>
  <si>
    <t>0415-448-891</t>
  </si>
  <si>
    <t>Jean Bowman</t>
  </si>
  <si>
    <t>Katrina Howell</t>
  </si>
  <si>
    <t>POL4509923</t>
  </si>
  <si>
    <t>ewong@gmail.com</t>
  </si>
  <si>
    <t>Mike Martin</t>
  </si>
  <si>
    <t>Hannah Larsen</t>
  </si>
  <si>
    <t>POL9753867</t>
  </si>
  <si>
    <t>levibarnett@munoz.org</t>
  </si>
  <si>
    <t>0465-387-363</t>
  </si>
  <si>
    <t>Anna Johnson</t>
  </si>
  <si>
    <t>Veronica Ortiz</t>
  </si>
  <si>
    <t>POL4345825</t>
  </si>
  <si>
    <t>josephfoster@atkins-horne.org.au</t>
  </si>
  <si>
    <t>0405 266 506</t>
  </si>
  <si>
    <t>Nathan Perez</t>
  </si>
  <si>
    <t>Benjamin Patterson</t>
  </si>
  <si>
    <t>POL1866369</t>
  </si>
  <si>
    <t>jordaneric@yahoo.com.au</t>
  </si>
  <si>
    <t>+61 2 0594 8862</t>
  </si>
  <si>
    <t>Meghan Turner</t>
  </si>
  <si>
    <t>Travis Patton</t>
  </si>
  <si>
    <t>POL6830568</t>
  </si>
  <si>
    <t>ssantos@valentine.com.au</t>
  </si>
  <si>
    <t>(03) 2916 0603</t>
  </si>
  <si>
    <t>Jeffery Johnson</t>
  </si>
  <si>
    <t>Pamela Clark</t>
  </si>
  <si>
    <t>POL5723099</t>
  </si>
  <si>
    <t>watsontony@hotmail.com</t>
  </si>
  <si>
    <t>Cynthia Smith</t>
  </si>
  <si>
    <t>Amy Kelly</t>
  </si>
  <si>
    <t>POL4039286</t>
  </si>
  <si>
    <t>traceycarson@hampton-pacheco.net.au</t>
  </si>
  <si>
    <t>Dr. Jill Allen</t>
  </si>
  <si>
    <t>Kevin Blankenship</t>
  </si>
  <si>
    <t>POL1172827</t>
  </si>
  <si>
    <t>moraleskevin@hotmail.com.au</t>
  </si>
  <si>
    <t>Anthony Shelton</t>
  </si>
  <si>
    <t>Heather Graham</t>
  </si>
  <si>
    <t>POL4471937</t>
  </si>
  <si>
    <t>scole@hotmail.com.au</t>
  </si>
  <si>
    <t>+61 476 103 852</t>
  </si>
  <si>
    <t>Michele Hart</t>
  </si>
  <si>
    <t>Beth Li</t>
  </si>
  <si>
    <t>POL8044342</t>
  </si>
  <si>
    <t>zmyers@moore.edu.au</t>
  </si>
  <si>
    <t>Casey Nguyen</t>
  </si>
  <si>
    <t>Elizabeth Gonzales</t>
  </si>
  <si>
    <t>POL3687361</t>
  </si>
  <si>
    <t>ohenry@dean.org</t>
  </si>
  <si>
    <t>07.4761.1636</t>
  </si>
  <si>
    <t>Andrew Adams</t>
  </si>
  <si>
    <t>Christopher Rowland</t>
  </si>
  <si>
    <t>POL8411982</t>
  </si>
  <si>
    <t>smithsarah@yahoo.com.au</t>
  </si>
  <si>
    <t>(07).1850.8058</t>
  </si>
  <si>
    <t>Mark Maxwell</t>
  </si>
  <si>
    <t>Alexis Hall</t>
  </si>
  <si>
    <t>POL6430547</t>
  </si>
  <si>
    <t>lindahubbard@yahoo.com.au</t>
  </si>
  <si>
    <t>Ryan Parker</t>
  </si>
  <si>
    <t>Dale Williams</t>
  </si>
  <si>
    <t>POL8992068</t>
  </si>
  <si>
    <t>patricia95@yahoo.com</t>
  </si>
  <si>
    <t>(07)52984507</t>
  </si>
  <si>
    <t>Megan Sandoval</t>
  </si>
  <si>
    <t>Michelle West</t>
  </si>
  <si>
    <t>POL6117056</t>
  </si>
  <si>
    <t>cmartin@wallace.edu</t>
  </si>
  <si>
    <t>(02)32529027</t>
  </si>
  <si>
    <t>Corey Bailey</t>
  </si>
  <si>
    <t>Brian Rowe</t>
  </si>
  <si>
    <t>POL2988096</t>
  </si>
  <si>
    <t>jchase@miller-miller.com</t>
  </si>
  <si>
    <t>Benjamin Smith</t>
  </si>
  <si>
    <t>Phillip Tapia</t>
  </si>
  <si>
    <t>POL1826515</t>
  </si>
  <si>
    <t>pwilliams@yahoo.com.au</t>
  </si>
  <si>
    <t>Nicholas Cox</t>
  </si>
  <si>
    <t>Jared Garcia</t>
  </si>
  <si>
    <t>POL5098658</t>
  </si>
  <si>
    <t>mariowarner@peterson-diaz.com.au</t>
  </si>
  <si>
    <t>0407.397.901</t>
  </si>
  <si>
    <t>Shelia Banks</t>
  </si>
  <si>
    <t>Charles Brown</t>
  </si>
  <si>
    <t>POL5503629</t>
  </si>
  <si>
    <t>allison01@yahoo.com.au</t>
  </si>
  <si>
    <t>Amanda Parker</t>
  </si>
  <si>
    <t>Karen Crosby</t>
  </si>
  <si>
    <t>POL4528608</t>
  </si>
  <si>
    <t>wbaker@barrera.com</t>
  </si>
  <si>
    <t>Christopher Ramirez</t>
  </si>
  <si>
    <t>Andrew Walker</t>
  </si>
  <si>
    <t>POL6440766</t>
  </si>
  <si>
    <t>jordandebbie@shah-carr.com.au</t>
  </si>
  <si>
    <t>(08).7703.9630</t>
  </si>
  <si>
    <t>Kyle Wells</t>
  </si>
  <si>
    <t>Paul Smith</t>
  </si>
  <si>
    <t>POL6688542</t>
  </si>
  <si>
    <t>icarter@hotmail.com</t>
  </si>
  <si>
    <t>Austin Thompson</t>
  </si>
  <si>
    <t>Justin Hill</t>
  </si>
  <si>
    <t>POL1570494</t>
  </si>
  <si>
    <t>jimalvarez@hernandez-smith.biz</t>
  </si>
  <si>
    <t>Jennifer Brown</t>
  </si>
  <si>
    <t>Mr. Raymond Hernandez</t>
  </si>
  <si>
    <t>POL4958800</t>
  </si>
  <si>
    <t>vcastaneda@mcmillan-brown.edu.au</t>
  </si>
  <si>
    <t>02-7997-7182</t>
  </si>
  <si>
    <t>Dana Pennington</t>
  </si>
  <si>
    <t>Lee Phillips</t>
  </si>
  <si>
    <t>POL1108491</t>
  </si>
  <si>
    <t>ujohnson@yahoo.com.au</t>
  </si>
  <si>
    <t>(07) 5517 4667</t>
  </si>
  <si>
    <t>Michael Miller</t>
  </si>
  <si>
    <t>Brent West</t>
  </si>
  <si>
    <t>POL6332439</t>
  </si>
  <si>
    <t>connieholmes@jones.edu</t>
  </si>
  <si>
    <t>+61.3.8398.8637</t>
  </si>
  <si>
    <t>Mark Hicks</t>
  </si>
  <si>
    <t>Mark Tate</t>
  </si>
  <si>
    <t>POL9741773</t>
  </si>
  <si>
    <t>williamhall@yahoo.com.au</t>
  </si>
  <si>
    <t>0420.607.444</t>
  </si>
  <si>
    <t>Kelsey Hines</t>
  </si>
  <si>
    <t>Heather Reid</t>
  </si>
  <si>
    <t>POL3035589</t>
  </si>
  <si>
    <t>kgonzales@yahoo.com.au</t>
  </si>
  <si>
    <t>(07).1002.4493</t>
  </si>
  <si>
    <t>Robert Wade</t>
  </si>
  <si>
    <t>Elizabeth Brown</t>
  </si>
  <si>
    <t>POL2722266</t>
  </si>
  <si>
    <t>colleenwise@white.edu</t>
  </si>
  <si>
    <t>(07)67675804</t>
  </si>
  <si>
    <t>Darin Morgan</t>
  </si>
  <si>
    <t>Catherine Perry</t>
  </si>
  <si>
    <t>POL7628897</t>
  </si>
  <si>
    <t>qmartin@clark.edu</t>
  </si>
  <si>
    <t>07-2171-6295</t>
  </si>
  <si>
    <t>Clinton Holmes</t>
  </si>
  <si>
    <t>Natalie Hughes</t>
  </si>
  <si>
    <t>POL8187610</t>
  </si>
  <si>
    <t>roachrhonda@fields.info</t>
  </si>
  <si>
    <t>Raymond Richards</t>
  </si>
  <si>
    <t>James King</t>
  </si>
  <si>
    <t>POL1814986</t>
  </si>
  <si>
    <t>darrenrodriguez@nelson-brown.com.au</t>
  </si>
  <si>
    <t>William Salazar</t>
  </si>
  <si>
    <t>Kristina Thompson</t>
  </si>
  <si>
    <t>POL3603427</t>
  </si>
  <si>
    <t>johnandrade@pruitt.org.au</t>
  </si>
  <si>
    <t>0046-8700</t>
  </si>
  <si>
    <t>Billy Greer</t>
  </si>
  <si>
    <t>Erica Ferguson</t>
  </si>
  <si>
    <t>POL8709426</t>
  </si>
  <si>
    <t>ebishop@gmail.com</t>
  </si>
  <si>
    <t>Joseph Mcguire</t>
  </si>
  <si>
    <t>Erica Hensley</t>
  </si>
  <si>
    <t>POL3719649</t>
  </si>
  <si>
    <t>joannreed@brown-henry.edu</t>
  </si>
  <si>
    <t>+61 7 2594 5157</t>
  </si>
  <si>
    <t>Paul Mcgrath</t>
  </si>
  <si>
    <t>Donald Douglas</t>
  </si>
  <si>
    <t>POL5880064</t>
  </si>
  <si>
    <t>matthew89@hotmail.com.au</t>
  </si>
  <si>
    <t>Colin Hernandez</t>
  </si>
  <si>
    <t>Brandon Gilbert</t>
  </si>
  <si>
    <t>POL5625208</t>
  </si>
  <si>
    <t>reevesernest@taylor-james.edu</t>
  </si>
  <si>
    <t>(03)-8256-6018</t>
  </si>
  <si>
    <t>Valerie Ford</t>
  </si>
  <si>
    <t>Marc Bell</t>
  </si>
  <si>
    <t>POL3619015</t>
  </si>
  <si>
    <t>emilysampson@gmail.com</t>
  </si>
  <si>
    <t>08 9700 0942</t>
  </si>
  <si>
    <t>John Nelson</t>
  </si>
  <si>
    <t>Amy Smith</t>
  </si>
  <si>
    <t>POL8644349</t>
  </si>
  <si>
    <t>bryan00@gmail.com</t>
  </si>
  <si>
    <t>Derrick Thompson</t>
  </si>
  <si>
    <t>Joshua Barnes</t>
  </si>
  <si>
    <t>POL2513208</t>
  </si>
  <si>
    <t>glewis@gmail.com</t>
  </si>
  <si>
    <t>(02) 9382 0957</t>
  </si>
  <si>
    <t>Norma Carroll</t>
  </si>
  <si>
    <t>William Padilla</t>
  </si>
  <si>
    <t>POL7440617</t>
  </si>
  <si>
    <t>rachael92@yahoo.com.au</t>
  </si>
  <si>
    <t>0418 668 556</t>
  </si>
  <si>
    <t>Cynthia Wilson</t>
  </si>
  <si>
    <t>Johnny Dillon</t>
  </si>
  <si>
    <t>POL6685401</t>
  </si>
  <si>
    <t>brittanystafford@yahoo.com</t>
  </si>
  <si>
    <t>(03).4124.7066</t>
  </si>
  <si>
    <t>Abigail Lambert</t>
  </si>
  <si>
    <t>Amy Edwards</t>
  </si>
  <si>
    <t>POL5002123</t>
  </si>
  <si>
    <t>bryantmatthew@hotmail.com</t>
  </si>
  <si>
    <t>Madison Fletcher</t>
  </si>
  <si>
    <t>Oscar Clark</t>
  </si>
  <si>
    <t>POL9750183</t>
  </si>
  <si>
    <t>nicholasjordan@schneider-hernandez.com.au</t>
  </si>
  <si>
    <t>03.1801.7602</t>
  </si>
  <si>
    <t>Denise Phillips</t>
  </si>
  <si>
    <t>Raymond Barnett</t>
  </si>
  <si>
    <t>POL6936105</t>
  </si>
  <si>
    <t>debbiesmith@hotmail.com.au</t>
  </si>
  <si>
    <t>0448 001 226</t>
  </si>
  <si>
    <t>Mary Webb</t>
  </si>
  <si>
    <t>Susan Clark</t>
  </si>
  <si>
    <t>POL3038910</t>
  </si>
  <si>
    <t>bobsmith@harrell-garcia.com</t>
  </si>
  <si>
    <t>+61.423.006.355</t>
  </si>
  <si>
    <t>Sean Ruiz</t>
  </si>
  <si>
    <t>Melinda Taylor</t>
  </si>
  <si>
    <t>POL4440329</t>
  </si>
  <si>
    <t>brian56@hotmail.com</t>
  </si>
  <si>
    <t>0499 086 883</t>
  </si>
  <si>
    <t>Sarah Cox</t>
  </si>
  <si>
    <t>Robert Choi</t>
  </si>
  <si>
    <t>POL5162223</t>
  </si>
  <si>
    <t>matthewgray@odonnell.org</t>
  </si>
  <si>
    <t>0479 426 309</t>
  </si>
  <si>
    <t>John Ramirez</t>
  </si>
  <si>
    <t>James Coleman</t>
  </si>
  <si>
    <t>POL2191664</t>
  </si>
  <si>
    <t>iandunlap@yahoo.com</t>
  </si>
  <si>
    <t>Richard Cortez</t>
  </si>
  <si>
    <t>Kaitlyn White</t>
  </si>
  <si>
    <t>POL2845277</t>
  </si>
  <si>
    <t>leslie12@hotmail.com</t>
  </si>
  <si>
    <t>Caroline Ortiz</t>
  </si>
  <si>
    <t>Mark Matthews</t>
  </si>
  <si>
    <t>POL7708608</t>
  </si>
  <si>
    <t>millercharles@villanueva.edu</t>
  </si>
  <si>
    <t>+61.2.0191.6621</t>
  </si>
  <si>
    <t>Nicole Martinez DDS</t>
  </si>
  <si>
    <t>Victoria Simon</t>
  </si>
  <si>
    <t>POL6986677</t>
  </si>
  <si>
    <t>ogonzalez@morrison.com.au</t>
  </si>
  <si>
    <t>1677 1355</t>
  </si>
  <si>
    <t>Megan Diaz</t>
  </si>
  <si>
    <t>Tracey Hood</t>
  </si>
  <si>
    <t>POL4460742</t>
  </si>
  <si>
    <t>gmccoy@hotmail.com.au</t>
  </si>
  <si>
    <t>+61 3 3983 6154</t>
  </si>
  <si>
    <t>Maria Sims MD</t>
  </si>
  <si>
    <t>Ronald Young</t>
  </si>
  <si>
    <t>POL7953039</t>
  </si>
  <si>
    <t>vlogan@ayers-fernandez.com</t>
  </si>
  <si>
    <t>8084 5986</t>
  </si>
  <si>
    <t>Darren Jones</t>
  </si>
  <si>
    <t>Christopher Smith</t>
  </si>
  <si>
    <t>POL5461591</t>
  </si>
  <si>
    <t>qmills@hotmail.com</t>
  </si>
  <si>
    <t>Michelle Nichols</t>
  </si>
  <si>
    <t>Henry Blair</t>
  </si>
  <si>
    <t>POL5547808</t>
  </si>
  <si>
    <t>mark73@yahoo.com.au</t>
  </si>
  <si>
    <t>07-0423-3840</t>
  </si>
  <si>
    <t>Meagan Guerrero</t>
  </si>
  <si>
    <t>Shannon Ellis</t>
  </si>
  <si>
    <t>POL4662187</t>
  </si>
  <si>
    <t>harold26@hotmail.com.au</t>
  </si>
  <si>
    <t>0431 564 652</t>
  </si>
  <si>
    <t>Sean Washington</t>
  </si>
  <si>
    <t>Megan Clark</t>
  </si>
  <si>
    <t>POL8943004</t>
  </si>
  <si>
    <t>adrian26@yahoo.com</t>
  </si>
  <si>
    <t>02-2931-9713</t>
  </si>
  <si>
    <t>Wendy West</t>
  </si>
  <si>
    <t>Luke Smith</t>
  </si>
  <si>
    <t>POL3054487</t>
  </si>
  <si>
    <t>larry97@yahoo.com</t>
  </si>
  <si>
    <t>03 5087 0001</t>
  </si>
  <si>
    <t>Wendy Sanchez</t>
  </si>
  <si>
    <t>Diana Armstrong</t>
  </si>
  <si>
    <t>POL2492210</t>
  </si>
  <si>
    <t>grayelizabeth@yahoo.com</t>
  </si>
  <si>
    <t>Kayla Schwartz</t>
  </si>
  <si>
    <t>Andrew Craig</t>
  </si>
  <si>
    <t>POL4435587</t>
  </si>
  <si>
    <t>gonzalestodd@hotmail.com</t>
  </si>
  <si>
    <t>+61.8.1388.3609</t>
  </si>
  <si>
    <t>Jeremiah Jones</t>
  </si>
  <si>
    <t>Tracy Howard</t>
  </si>
  <si>
    <t>POL1664138</t>
  </si>
  <si>
    <t>george52@castaneda.net.au</t>
  </si>
  <si>
    <t>0494 324 701</t>
  </si>
  <si>
    <t>Mary Oconnor</t>
  </si>
  <si>
    <t>Mark Hurst</t>
  </si>
  <si>
    <t>POL8566558</t>
  </si>
  <si>
    <t>johnhill@hotmail.com.au</t>
  </si>
  <si>
    <t>+61 3 0466 2523</t>
  </si>
  <si>
    <t>Megan Price</t>
  </si>
  <si>
    <t>Cynthia Combs</t>
  </si>
  <si>
    <t>POL6415174</t>
  </si>
  <si>
    <t>vgalloway@yahoo.com</t>
  </si>
  <si>
    <t>(07) 8761 8078</t>
  </si>
  <si>
    <t>Cheryl Allen</t>
  </si>
  <si>
    <t>Jennifer Castillo MD</t>
  </si>
  <si>
    <t>POL8634335</t>
  </si>
  <si>
    <t>summersjohn@torres.com.au</t>
  </si>
  <si>
    <t>07 6613 4410</t>
  </si>
  <si>
    <t>Maurice Hill</t>
  </si>
  <si>
    <t>Michael Graves</t>
  </si>
  <si>
    <t>POL5030665</t>
  </si>
  <si>
    <t>hwilson@yahoo.com</t>
  </si>
  <si>
    <t>(03).1639.3881</t>
  </si>
  <si>
    <t>Tabitha Chapman</t>
  </si>
  <si>
    <t>Jamie Haney</t>
  </si>
  <si>
    <t>POL9954876</t>
  </si>
  <si>
    <t>ylong@cherry.net.au</t>
  </si>
  <si>
    <t>+61 3 7707 4786</t>
  </si>
  <si>
    <t>Sheila Browning</t>
  </si>
  <si>
    <t>Kathleen Tate</t>
  </si>
  <si>
    <t>POL4904216</t>
  </si>
  <si>
    <t>brian79@hotmail.com.au</t>
  </si>
  <si>
    <t>(08)08336334</t>
  </si>
  <si>
    <t>Andrea Strong</t>
  </si>
  <si>
    <t>Brandy Brown</t>
  </si>
  <si>
    <t>POL9634861</t>
  </si>
  <si>
    <t>townsendpriscilla@yahoo.com.au</t>
  </si>
  <si>
    <t>02 3072 2761</t>
  </si>
  <si>
    <t>Crystal Rodriguez</t>
  </si>
  <si>
    <t>Christine Morgan MD</t>
  </si>
  <si>
    <t>POL6569347</t>
  </si>
  <si>
    <t>autumnkelley@yahoo.com</t>
  </si>
  <si>
    <t>Matthew Mckinney</t>
  </si>
  <si>
    <t>Greg Johnson</t>
  </si>
  <si>
    <t>POL2637977</t>
  </si>
  <si>
    <t>oleonard@yahoo.com</t>
  </si>
  <si>
    <t>Larry Banks</t>
  </si>
  <si>
    <t>Austin Silva</t>
  </si>
  <si>
    <t>POL9966680</t>
  </si>
  <si>
    <t>james61@henry-williams.edu</t>
  </si>
  <si>
    <t>0428.290.352</t>
  </si>
  <si>
    <t>Isaiah Davis</t>
  </si>
  <si>
    <t>Jordan Hill</t>
  </si>
  <si>
    <t>POL9054706</t>
  </si>
  <si>
    <t>njordan@lambert.net</t>
  </si>
  <si>
    <t>(02)03904266</t>
  </si>
  <si>
    <t>Hannah Brock</t>
  </si>
  <si>
    <t>Joanne Lang</t>
  </si>
  <si>
    <t>POL6161310</t>
  </si>
  <si>
    <t>kelly77@gmail.com</t>
  </si>
  <si>
    <t>Ashley Jensen</t>
  </si>
  <si>
    <t>Dawn Collins</t>
  </si>
  <si>
    <t>POL2774856</t>
  </si>
  <si>
    <t>tanya65@pollard-glover.info</t>
  </si>
  <si>
    <t>(07)-4800-7439</t>
  </si>
  <si>
    <t>Justin Booth</t>
  </si>
  <si>
    <t>Michelle Perry</t>
  </si>
  <si>
    <t>POL4991252</t>
  </si>
  <si>
    <t>jessica24@yahoo.com.au</t>
  </si>
  <si>
    <t>0422-539-624</t>
  </si>
  <si>
    <t>Leslie Myers</t>
  </si>
  <si>
    <t>Stephanie Rowe</t>
  </si>
  <si>
    <t>POL2193817</t>
  </si>
  <si>
    <t>hamiltonsteven@yahoo.com</t>
  </si>
  <si>
    <t>(03) 6262 7339</t>
  </si>
  <si>
    <t>Jill Monroe</t>
  </si>
  <si>
    <t>Karina Harris</t>
  </si>
  <si>
    <t>POL6313975</t>
  </si>
  <si>
    <t>murphyandrew@allen.net.au</t>
  </si>
  <si>
    <t>+61.420.487.424</t>
  </si>
  <si>
    <t>Jessica Dougherty</t>
  </si>
  <si>
    <t>Michael Webster</t>
  </si>
  <si>
    <t>POL4946275</t>
  </si>
  <si>
    <t>deniserobinson@fernandez.org.au</t>
  </si>
  <si>
    <t>Maxwell Olson</t>
  </si>
  <si>
    <t>Joshua Smith</t>
  </si>
  <si>
    <t>POL1398562</t>
  </si>
  <si>
    <t>perezamanda@hotmail.com</t>
  </si>
  <si>
    <t>(08)21092059</t>
  </si>
  <si>
    <t>Paul Mueller</t>
  </si>
  <si>
    <t>Kevin Kline</t>
  </si>
  <si>
    <t>POL3163059</t>
  </si>
  <si>
    <t>jasonmartinez@howell.edu.au</t>
  </si>
  <si>
    <t>Eddie Lee</t>
  </si>
  <si>
    <t>Kristen Richardson</t>
  </si>
  <si>
    <t>POL4090924</t>
  </si>
  <si>
    <t>joe91@best.info</t>
  </si>
  <si>
    <t>+61 3 6595 0735</t>
  </si>
  <si>
    <t>Kyle Parker</t>
  </si>
  <si>
    <t>Christopher Bright</t>
  </si>
  <si>
    <t>POL6938445</t>
  </si>
  <si>
    <t>rebeccasmith@hotmail.com</t>
  </si>
  <si>
    <t>+61 425 033 350</t>
  </si>
  <si>
    <t>John Jackson</t>
  </si>
  <si>
    <t>Debra Hamilton</t>
  </si>
  <si>
    <t>POL4094844</t>
  </si>
  <si>
    <t>deannamacdonald@ross.org</t>
  </si>
  <si>
    <t>Brian Rice</t>
  </si>
  <si>
    <t>Jill Terry</t>
  </si>
  <si>
    <t>POL4409009</t>
  </si>
  <si>
    <t>lori25@hotmail.com</t>
  </si>
  <si>
    <t>0468-759-217</t>
  </si>
  <si>
    <t>Wayne Johnson</t>
  </si>
  <si>
    <t>Jose Hood</t>
  </si>
  <si>
    <t>POL2201370</t>
  </si>
  <si>
    <t>mooreshane@rosales.edu</t>
  </si>
  <si>
    <t>0961 5310</t>
  </si>
  <si>
    <t>Vanessa Bradley</t>
  </si>
  <si>
    <t>Samantha Garcia</t>
  </si>
  <si>
    <t>POL1181540</t>
  </si>
  <si>
    <t>emoore@ross-harris.net.au</t>
  </si>
  <si>
    <t>Heather Smith</t>
  </si>
  <si>
    <t>Darlene Huffman</t>
  </si>
  <si>
    <t>POL7127049</t>
  </si>
  <si>
    <t>shieldsjohn@reeves.edu.au</t>
  </si>
  <si>
    <t>0470.665.330</t>
  </si>
  <si>
    <t>Anita White</t>
  </si>
  <si>
    <t>Lisa Diaz</t>
  </si>
  <si>
    <t>POL1391395</t>
  </si>
  <si>
    <t>brandongolden@edwards.edu</t>
  </si>
  <si>
    <t>07 3132 9858</t>
  </si>
  <si>
    <t>Riley Johnson</t>
  </si>
  <si>
    <t>Stephanie Robinson</t>
  </si>
  <si>
    <t>POL7262662</t>
  </si>
  <si>
    <t>sethdiaz@yahoo.com.au</t>
  </si>
  <si>
    <t>Brooke Ramirez</t>
  </si>
  <si>
    <t>Michelle Wright</t>
  </si>
  <si>
    <t>POL7399530</t>
  </si>
  <si>
    <t>andersonfrank@pineda.edu</t>
  </si>
  <si>
    <t>07.7472.6230</t>
  </si>
  <si>
    <t>Shawn Valencia</t>
  </si>
  <si>
    <t>Latoya Brown</t>
  </si>
  <si>
    <t>POL8925644</t>
  </si>
  <si>
    <t>johnsonwanda@phillips.org.au</t>
  </si>
  <si>
    <t>1722-1350</t>
  </si>
  <si>
    <t>Stephen Moore</t>
  </si>
  <si>
    <t>Kristina Davis</t>
  </si>
  <si>
    <t>POL6510848</t>
  </si>
  <si>
    <t>lawrence84@yahoo.com.au</t>
  </si>
  <si>
    <t>1779-4832</t>
  </si>
  <si>
    <t>Natalie Hall</t>
  </si>
  <si>
    <t>Jennifer Wong</t>
  </si>
  <si>
    <t>POL4044033</t>
  </si>
  <si>
    <t>timothylopez@hotmail.com</t>
  </si>
  <si>
    <t>Carla Garrett</t>
  </si>
  <si>
    <t>Catherine Morris</t>
  </si>
  <si>
    <t>POL1202536</t>
  </si>
  <si>
    <t>john44@dunn.org.au</t>
  </si>
  <si>
    <t>0478-719-239</t>
  </si>
  <si>
    <t>Dan Adams</t>
  </si>
  <si>
    <t>Rachel Cooley</t>
  </si>
  <si>
    <t>POL6869163</t>
  </si>
  <si>
    <t>iwarner@hotmail.com.au</t>
  </si>
  <si>
    <t>+61 7 6194 1628</t>
  </si>
  <si>
    <t>Colleen Anderson</t>
  </si>
  <si>
    <t>David Duke</t>
  </si>
  <si>
    <t>POL9593202</t>
  </si>
  <si>
    <t>tylergeorge@yahoo.com</t>
  </si>
  <si>
    <t>+61.8.8940.4815</t>
  </si>
  <si>
    <t>Daniel Gonzalez</t>
  </si>
  <si>
    <t>William Spears</t>
  </si>
  <si>
    <t>POL2724259</t>
  </si>
  <si>
    <t>kelly98@hotmail.com.au</t>
  </si>
  <si>
    <t>02.4094.6342</t>
  </si>
  <si>
    <t>Laura Taylor</t>
  </si>
  <si>
    <t>Melissa Edwards</t>
  </si>
  <si>
    <t>POL5297761</t>
  </si>
  <si>
    <t>cameron00@yahoo.com</t>
  </si>
  <si>
    <t>3579-8077</t>
  </si>
  <si>
    <t>Austin Cook</t>
  </si>
  <si>
    <t>Eric Steele</t>
  </si>
  <si>
    <t>POL2280514</t>
  </si>
  <si>
    <t>james96@smith.net.au</t>
  </si>
  <si>
    <t>0417 678 926</t>
  </si>
  <si>
    <t>April Bender</t>
  </si>
  <si>
    <t>Kristina Hill</t>
  </si>
  <si>
    <t>POL5423425</t>
  </si>
  <si>
    <t>debra39@hotmail.com</t>
  </si>
  <si>
    <t>(02)20990586</t>
  </si>
  <si>
    <t>George Taylor</t>
  </si>
  <si>
    <t>Tammy Roberts</t>
  </si>
  <si>
    <t>POL2091348</t>
  </si>
  <si>
    <t>amanda84@thompson.edu.au</t>
  </si>
  <si>
    <t>+61 3 2123 7343</t>
  </si>
  <si>
    <t>Rose Ellison</t>
  </si>
  <si>
    <t>Megan Rice</t>
  </si>
  <si>
    <t>POL3141085</t>
  </si>
  <si>
    <t>patricklawrence@waters.com</t>
  </si>
  <si>
    <t>Charles Thomas</t>
  </si>
  <si>
    <t>John Cantu</t>
  </si>
  <si>
    <t>POL4221421</t>
  </si>
  <si>
    <t>michael42@hotmail.com.au</t>
  </si>
  <si>
    <t>(08) 3823 7691</t>
  </si>
  <si>
    <t>Jordan Juarez</t>
  </si>
  <si>
    <t>Leah Randall</t>
  </si>
  <si>
    <t>POL5571876</t>
  </si>
  <si>
    <t>bflynn@rodriguez.org</t>
  </si>
  <si>
    <t>Michelle Davis</t>
  </si>
  <si>
    <t>Paul Wilcox DDS</t>
  </si>
  <si>
    <t>POL2436945</t>
  </si>
  <si>
    <t>heatherwebb@yahoo.com</t>
  </si>
  <si>
    <t>Jonathon Cameron</t>
  </si>
  <si>
    <t>Christine Chang</t>
  </si>
  <si>
    <t>POL5807608</t>
  </si>
  <si>
    <t>juliahall@dickerson-brown.edu.au</t>
  </si>
  <si>
    <t>0436.124.185</t>
  </si>
  <si>
    <t>Willie Davis</t>
  </si>
  <si>
    <t>Brett Burnett</t>
  </si>
  <si>
    <t>POL9804979</t>
  </si>
  <si>
    <t>mwilliams@hotmail.com.au</t>
  </si>
  <si>
    <t>Kristi Vargas</t>
  </si>
  <si>
    <t>Lee Carrillo</t>
  </si>
  <si>
    <t>POL8384578</t>
  </si>
  <si>
    <t>lwilkerson@herring.biz</t>
  </si>
  <si>
    <t>Margaret Cooper</t>
  </si>
  <si>
    <t>Stephanie Conrad</t>
  </si>
  <si>
    <t>POL3247800</t>
  </si>
  <si>
    <t>lwise@yahoo.com.au</t>
  </si>
  <si>
    <t>(07)69743017</t>
  </si>
  <si>
    <t>Gordon Washington</t>
  </si>
  <si>
    <t>Elizabeth Reynolds</t>
  </si>
  <si>
    <t>POL3789262</t>
  </si>
  <si>
    <t>jcarpenter@calhoun.edu.au</t>
  </si>
  <si>
    <t>5587 8035</t>
  </si>
  <si>
    <t>Alexander Mayo</t>
  </si>
  <si>
    <t>Michele Harrington</t>
  </si>
  <si>
    <t>POL5757671</t>
  </si>
  <si>
    <t>hobbsgregory@hotmail.com.au</t>
  </si>
  <si>
    <t>Geoffrey Wilkerson</t>
  </si>
  <si>
    <t>Tracy Hebert</t>
  </si>
  <si>
    <t>POL4706875</t>
  </si>
  <si>
    <t>maureen95@yahoo.com</t>
  </si>
  <si>
    <t>(02).7380.0241</t>
  </si>
  <si>
    <t>Robert Perry</t>
  </si>
  <si>
    <t>Theresa Mcintosh</t>
  </si>
  <si>
    <t>POL2747282</t>
  </si>
  <si>
    <t>molly62@yahoo.com</t>
  </si>
  <si>
    <t>Daniel Rodriguez</t>
  </si>
  <si>
    <t>Nancy Thompson</t>
  </si>
  <si>
    <t>POL9675527</t>
  </si>
  <si>
    <t>jill41@hall.net.au</t>
  </si>
  <si>
    <t>02.4846.1454</t>
  </si>
  <si>
    <t>Henry Robinson</t>
  </si>
  <si>
    <t>Reginald Brown</t>
  </si>
  <si>
    <t>POL9820726</t>
  </si>
  <si>
    <t>rodriguezdaniel@hotmail.com</t>
  </si>
  <si>
    <t>02-7493-6075</t>
  </si>
  <si>
    <t>Robert Rasmussen</t>
  </si>
  <si>
    <t>Stephen Gonzalez</t>
  </si>
  <si>
    <t>POL4900569</t>
  </si>
  <si>
    <t>fcastillo@hotmail.com.au</t>
  </si>
  <si>
    <t>0478-632-558</t>
  </si>
  <si>
    <t>Travis Roach</t>
  </si>
  <si>
    <t>Lauren Charles</t>
  </si>
  <si>
    <t>POL7314674</t>
  </si>
  <si>
    <t>gilbertstephanie@martin-vaughan.net</t>
  </si>
  <si>
    <t>(03)03062423</t>
  </si>
  <si>
    <t>Karen Lawrence</t>
  </si>
  <si>
    <t>Michael Nelson</t>
  </si>
  <si>
    <t>POL1378153</t>
  </si>
  <si>
    <t>odaniels@kline.biz</t>
  </si>
  <si>
    <t>+61 475 225 042</t>
  </si>
  <si>
    <t>Michael Meyer</t>
  </si>
  <si>
    <t>Ashley Austin</t>
  </si>
  <si>
    <t>POL2969392</t>
  </si>
  <si>
    <t>laura02@yahoo.com.au</t>
  </si>
  <si>
    <t>02.9488.6368</t>
  </si>
  <si>
    <t>Derek Brown</t>
  </si>
  <si>
    <t>James Byrd</t>
  </si>
  <si>
    <t>POL5358318</t>
  </si>
  <si>
    <t>kathleen29@wyatt-lee.biz</t>
  </si>
  <si>
    <t>0429 749 600</t>
  </si>
  <si>
    <t>Terry Lee</t>
  </si>
  <si>
    <t>Amanda Murray</t>
  </si>
  <si>
    <t>POL5340130</t>
  </si>
  <si>
    <t>millermichael@hotmail.com.au</t>
  </si>
  <si>
    <t>(08)-0471-7504</t>
  </si>
  <si>
    <t>Karen Rice</t>
  </si>
  <si>
    <t>Joseph Smith</t>
  </si>
  <si>
    <t>POL3081268</t>
  </si>
  <si>
    <t>ldrake@hubbard.biz</t>
  </si>
  <si>
    <t>Suzanne Davis</t>
  </si>
  <si>
    <t>Jill Barron</t>
  </si>
  <si>
    <t>POL6092843</t>
  </si>
  <si>
    <t>tonyawhite@cooper.biz</t>
  </si>
  <si>
    <t>(07) 1051 6676</t>
  </si>
  <si>
    <t>Justin Sherman</t>
  </si>
  <si>
    <t>Nathan Li</t>
  </si>
  <si>
    <t>POL5227821</t>
  </si>
  <si>
    <t>littlecaroline@hotmail.com.au</t>
  </si>
  <si>
    <t>(07)52485303</t>
  </si>
  <si>
    <t>Derek Nunez</t>
  </si>
  <si>
    <t>Molly Dudley</t>
  </si>
  <si>
    <t>POL8830518</t>
  </si>
  <si>
    <t>christopher06@gill.net</t>
  </si>
  <si>
    <t>0432-925-060</t>
  </si>
  <si>
    <t>Glen Walker</t>
  </si>
  <si>
    <t>Amy Martin</t>
  </si>
  <si>
    <t>POL6597444</t>
  </si>
  <si>
    <t>vincentbrianna@romero-marshall.org</t>
  </si>
  <si>
    <t>4482-9707</t>
  </si>
  <si>
    <t>Julia Soto</t>
  </si>
  <si>
    <t>Michael Randall</t>
  </si>
  <si>
    <t>POL3138004</t>
  </si>
  <si>
    <t>gkennedy@gmail.com</t>
  </si>
  <si>
    <t>+61.8.6086.0147</t>
  </si>
  <si>
    <t>Catherine Cunningham</t>
  </si>
  <si>
    <t>Sandra Gonzalez</t>
  </si>
  <si>
    <t>POL6113844</t>
  </si>
  <si>
    <t>johnsonjoshua@hotmail.com</t>
  </si>
  <si>
    <t>0472-030-876</t>
  </si>
  <si>
    <t>Devon Henderson</t>
  </si>
  <si>
    <t>Sabrina Mcintosh</t>
  </si>
  <si>
    <t>POL2739309</t>
  </si>
  <si>
    <t>cynthiafletcher@hotmail.com</t>
  </si>
  <si>
    <t>Cynthia Brennan MD</t>
  </si>
  <si>
    <t>Donna Griffith</t>
  </si>
  <si>
    <t>POL7796473</t>
  </si>
  <si>
    <t>philipgomez@hotmail.com.au</t>
  </si>
  <si>
    <t>Tina Gonzalez</t>
  </si>
  <si>
    <t>Ronald James</t>
  </si>
  <si>
    <t>POL3132457</t>
  </si>
  <si>
    <t>sarawebb@colon.net</t>
  </si>
  <si>
    <t>(08) 8775 2575</t>
  </si>
  <si>
    <t>Kenneth Brown</t>
  </si>
  <si>
    <t>Tiffany Kennedy</t>
  </si>
  <si>
    <t>POL2501001</t>
  </si>
  <si>
    <t>hdavies@yahoo.com</t>
  </si>
  <si>
    <t>Steven Garcia</t>
  </si>
  <si>
    <t>Julie Jones</t>
  </si>
  <si>
    <t>POL5258129</t>
  </si>
  <si>
    <t>laurathomas@yahoo.com.au</t>
  </si>
  <si>
    <t>07 9327 1585</t>
  </si>
  <si>
    <t>Sean Jones</t>
  </si>
  <si>
    <t>Richard George</t>
  </si>
  <si>
    <t>POL7276234</t>
  </si>
  <si>
    <t>kcampbell@hotmail.com</t>
  </si>
  <si>
    <t>Heather Brown</t>
  </si>
  <si>
    <t>Martha Davis</t>
  </si>
  <si>
    <t>POL3368624</t>
  </si>
  <si>
    <t>karen75@yahoo.com.au</t>
  </si>
  <si>
    <t>Jason Good</t>
  </si>
  <si>
    <t>Jennifer Villa</t>
  </si>
  <si>
    <t>POL1091709</t>
  </si>
  <si>
    <t>katherineharrington@garcia-franco.edu.au</t>
  </si>
  <si>
    <t>08-6883-9975</t>
  </si>
  <si>
    <t>Mark Castillo</t>
  </si>
  <si>
    <t>Amber Gutierrez</t>
  </si>
  <si>
    <t>POL6208024</t>
  </si>
  <si>
    <t>eford@gmail.com</t>
  </si>
  <si>
    <t>+61 8 6599 1779</t>
  </si>
  <si>
    <t>Donald Vaughn</t>
  </si>
  <si>
    <t>Anna Rodriguez</t>
  </si>
  <si>
    <t>POL4996143</t>
  </si>
  <si>
    <t>skinnermelissa@gmail.com</t>
  </si>
  <si>
    <t>1829 5603</t>
  </si>
  <si>
    <t>Sean Mitchell</t>
  </si>
  <si>
    <t>Renee Johnson</t>
  </si>
  <si>
    <t>POL9777910</t>
  </si>
  <si>
    <t>odavis@bennett.info</t>
  </si>
  <si>
    <t>Erica Cruz</t>
  </si>
  <si>
    <t>Destiny Nelson</t>
  </si>
  <si>
    <t>POL8183171</t>
  </si>
  <si>
    <t>turnerjoseph@kemp.com</t>
  </si>
  <si>
    <t>+61 432 590 799</t>
  </si>
  <si>
    <t>Clinton Hale</t>
  </si>
  <si>
    <t>Jessica White</t>
  </si>
  <si>
    <t>POL5622229</t>
  </si>
  <si>
    <t>eberry@ho.com.au</t>
  </si>
  <si>
    <t>0424-228-362</t>
  </si>
  <si>
    <t>Ruth Mccoy</t>
  </si>
  <si>
    <t>Mandy Rocha</t>
  </si>
  <si>
    <t>POL2190763</t>
  </si>
  <si>
    <t>krivers@gmail.com</t>
  </si>
  <si>
    <t>+61 477 323 706</t>
  </si>
  <si>
    <t>Robin Garcia</t>
  </si>
  <si>
    <t>Rodney Nichols</t>
  </si>
  <si>
    <t>POL6578669</t>
  </si>
  <si>
    <t>wadejorge@yahoo.com.au</t>
  </si>
  <si>
    <t>+61.8.5700.1395</t>
  </si>
  <si>
    <t>Troy Crane</t>
  </si>
  <si>
    <t>Paige Carroll</t>
  </si>
  <si>
    <t>POL3781394</t>
  </si>
  <si>
    <t>amy50@clay-harding.net</t>
  </si>
  <si>
    <t>0450-002-409</t>
  </si>
  <si>
    <t>Jennifer Dean</t>
  </si>
  <si>
    <t>Susan Palmer</t>
  </si>
  <si>
    <t>POL1602615</t>
  </si>
  <si>
    <t>kingdavid@gmail.com</t>
  </si>
  <si>
    <t>02.0276.2995</t>
  </si>
  <si>
    <t>Alyssa Harris</t>
  </si>
  <si>
    <t>Lisa Mullen</t>
  </si>
  <si>
    <t>POL7690599</t>
  </si>
  <si>
    <t>anelson@anderson.com.au</t>
  </si>
  <si>
    <t>(03)08216944</t>
  </si>
  <si>
    <t>Lisa Gilbert</t>
  </si>
  <si>
    <t>James Kemp</t>
  </si>
  <si>
    <t>POL3833694</t>
  </si>
  <si>
    <t>landryclayton@johnson.net</t>
  </si>
  <si>
    <t>+61 497 167 985</t>
  </si>
  <si>
    <t>Christopher Hart</t>
  </si>
  <si>
    <t>Terry Andrews</t>
  </si>
  <si>
    <t>POL5761110</t>
  </si>
  <si>
    <t>spencermatthew@hotmail.com.au</t>
  </si>
  <si>
    <t>(03) 7141 8008</t>
  </si>
  <si>
    <t>Kim White</t>
  </si>
  <si>
    <t>Kelly Carroll</t>
  </si>
  <si>
    <t>POL2073247</t>
  </si>
  <si>
    <t>michelehogan@gmail.com</t>
  </si>
  <si>
    <t>+61.2.9932.2327</t>
  </si>
  <si>
    <t>Derrick Barton</t>
  </si>
  <si>
    <t>Melissa Parker</t>
  </si>
  <si>
    <t>POL5094818</t>
  </si>
  <si>
    <t>ramosshelby@greer.net.au</t>
  </si>
  <si>
    <t>(02) 8284 6342</t>
  </si>
  <si>
    <t>Matthew Horn</t>
  </si>
  <si>
    <t>Kathleen Hill</t>
  </si>
  <si>
    <t>POL1481568</t>
  </si>
  <si>
    <t>jorgemiller@wright-tyler.edu.au</t>
  </si>
  <si>
    <t>Sandra Carter</t>
  </si>
  <si>
    <t>Morgan Humphrey</t>
  </si>
  <si>
    <t>POL1377885</t>
  </si>
  <si>
    <t>wendy34@gmail.com</t>
  </si>
  <si>
    <t>0446.808.485</t>
  </si>
  <si>
    <t>Michael Howard</t>
  </si>
  <si>
    <t>Jennifer Ray</t>
  </si>
  <si>
    <t>POL5208729</t>
  </si>
  <si>
    <t>druiz@hudson.net</t>
  </si>
  <si>
    <t>07.8721.3393</t>
  </si>
  <si>
    <t>Shawn Lee</t>
  </si>
  <si>
    <t>Walter Diaz</t>
  </si>
  <si>
    <t>POL1336265</t>
  </si>
  <si>
    <t>erinweber@gmail.com</t>
  </si>
  <si>
    <t>(08) 6811 6289</t>
  </si>
  <si>
    <t>Mrs. Samantha Yoder</t>
  </si>
  <si>
    <t>Robert Elliott</t>
  </si>
  <si>
    <t>POL3330399</t>
  </si>
  <si>
    <t>milesmargaret@welch.edu</t>
  </si>
  <si>
    <t>0424.997.866</t>
  </si>
  <si>
    <t>Kelly Osborne</t>
  </si>
  <si>
    <t>Christopher Thompson</t>
  </si>
  <si>
    <t>POL3814809</t>
  </si>
  <si>
    <t>preynolds@yahoo.com</t>
  </si>
  <si>
    <t>0436.162.290</t>
  </si>
  <si>
    <t>Cody Cox</t>
  </si>
  <si>
    <t>Barbara Hernandez</t>
  </si>
  <si>
    <t>POL9514560</t>
  </si>
  <si>
    <t>mendozamichael@johnson.net.au</t>
  </si>
  <si>
    <t>(07)-0047-4799</t>
  </si>
  <si>
    <t>Maria Cain</t>
  </si>
  <si>
    <t>Tara Wilson</t>
  </si>
  <si>
    <t>POL7047883</t>
  </si>
  <si>
    <t>aaronnunez@hill.org.au</t>
  </si>
  <si>
    <t>+61.400.943.270</t>
  </si>
  <si>
    <t>Patrick Fowler</t>
  </si>
  <si>
    <t>Kimberly Contreras</t>
  </si>
  <si>
    <t>POL2403921</t>
  </si>
  <si>
    <t>qgalloway@cantu-miller.info</t>
  </si>
  <si>
    <t>Dr. Amy Mathews</t>
  </si>
  <si>
    <t>Mary Rodriguez</t>
  </si>
  <si>
    <t>POL3630006</t>
  </si>
  <si>
    <t>willie80@serrano-hansen.net</t>
  </si>
  <si>
    <t>+61 469 579 977</t>
  </si>
  <si>
    <t>Andrew Jones</t>
  </si>
  <si>
    <t>Hunter Rich</t>
  </si>
  <si>
    <t>POL7133967</t>
  </si>
  <si>
    <t>harperjeremy@gmail.com</t>
  </si>
  <si>
    <t>1151-6062</t>
  </si>
  <si>
    <t>Gary White</t>
  </si>
  <si>
    <t>James Gardner</t>
  </si>
  <si>
    <t>POL5831556</t>
  </si>
  <si>
    <t>andrea35@griffin.edu</t>
  </si>
  <si>
    <t>0429.574.796</t>
  </si>
  <si>
    <t>Richard Massey</t>
  </si>
  <si>
    <t>Mark Taylor</t>
  </si>
  <si>
    <t>POL8325325</t>
  </si>
  <si>
    <t>jacksongary@nichols.org</t>
  </si>
  <si>
    <t>07-3730-0692</t>
  </si>
  <si>
    <t>Shawn Mason</t>
  </si>
  <si>
    <t>William Burke</t>
  </si>
  <si>
    <t>POL2648419</t>
  </si>
  <si>
    <t>latashazimmerman@flores-harrington.edu</t>
  </si>
  <si>
    <t>(02)-7108-8057</t>
  </si>
  <si>
    <t>Jennifer Newman</t>
  </si>
  <si>
    <t>Charles Gomez</t>
  </si>
  <si>
    <t>POL1914350</t>
  </si>
  <si>
    <t>hintonjames@yahoo.com.au</t>
  </si>
  <si>
    <t>0141 2294</t>
  </si>
  <si>
    <t>Marcus Gonzales</t>
  </si>
  <si>
    <t>Stephanie Dalton</t>
  </si>
  <si>
    <t>POL3176751</t>
  </si>
  <si>
    <t>richardnguyen@mcconnell.com.au</t>
  </si>
  <si>
    <t>Suzanne Raymond</t>
  </si>
  <si>
    <t>Jennifer Campbell</t>
  </si>
  <si>
    <t>POL5145298</t>
  </si>
  <si>
    <t>josesantos@gmail.com</t>
  </si>
  <si>
    <t>08 7056 7608</t>
  </si>
  <si>
    <t>Alexandria Johnson</t>
  </si>
  <si>
    <t>Cindy Hernandez</t>
  </si>
  <si>
    <t>POL2987268</t>
  </si>
  <si>
    <t>dmay@peterson-johnson.info</t>
  </si>
  <si>
    <t>Donald Hodge</t>
  </si>
  <si>
    <t>Joseph Brown</t>
  </si>
  <si>
    <t>POL8787983</t>
  </si>
  <si>
    <t>tiffany24@mitchell-esparza.org.au</t>
  </si>
  <si>
    <t>Shirley Hernandez</t>
  </si>
  <si>
    <t>Gerald Moore</t>
  </si>
  <si>
    <t>POL8984254</t>
  </si>
  <si>
    <t>william62@barnes.com</t>
  </si>
  <si>
    <t>Dale Wright</t>
  </si>
  <si>
    <t>Michael Simmons</t>
  </si>
  <si>
    <t>POL1318289</t>
  </si>
  <si>
    <t>melissa20@clark.biz</t>
  </si>
  <si>
    <t>+61.2.5998.1096</t>
  </si>
  <si>
    <t>Phillip Reed</t>
  </si>
  <si>
    <t>Stacy Moreno</t>
  </si>
  <si>
    <t>POL3462598</t>
  </si>
  <si>
    <t>johnnyrich@hansen.com</t>
  </si>
  <si>
    <t>0466.535.674</t>
  </si>
  <si>
    <t>Barbara Grimes</t>
  </si>
  <si>
    <t>Felicia Mcdaniel</t>
  </si>
  <si>
    <t>POL4027533</t>
  </si>
  <si>
    <t>joshua14@yahoo.com.au</t>
  </si>
  <si>
    <t>(07)-4030-8566</t>
  </si>
  <si>
    <t>Henry Barker</t>
  </si>
  <si>
    <t>Gary Williams</t>
  </si>
  <si>
    <t>POL6787107</t>
  </si>
  <si>
    <t>patrickbrown@spears-brown.com</t>
  </si>
  <si>
    <t>Tina Perez</t>
  </si>
  <si>
    <t>Steven Collins</t>
  </si>
  <si>
    <t>POL6605769</t>
  </si>
  <si>
    <t>cummingscarol@yahoo.com.au</t>
  </si>
  <si>
    <t>0419.569.472</t>
  </si>
  <si>
    <t>Katelyn Smith</t>
  </si>
  <si>
    <t>Scott Barajas</t>
  </si>
  <si>
    <t>POL9835036</t>
  </si>
  <si>
    <t>taylorsandra@gmail.com</t>
  </si>
  <si>
    <t>+61 7 6501 6898</t>
  </si>
  <si>
    <t>Todd Carter</t>
  </si>
  <si>
    <t>Taylor Norris</t>
  </si>
  <si>
    <t>POL4367458</t>
  </si>
  <si>
    <t>sara44@yahoo.com.au</t>
  </si>
  <si>
    <t>+61 3 4354 8739</t>
  </si>
  <si>
    <t>Robin Morton</t>
  </si>
  <si>
    <t>Denise Morrison</t>
  </si>
  <si>
    <t>POL2736044</t>
  </si>
  <si>
    <t>keithburch@huff.edu.au</t>
  </si>
  <si>
    <t>Rose Wagner</t>
  </si>
  <si>
    <t>Andrew Bond</t>
  </si>
  <si>
    <t>POL2146091</t>
  </si>
  <si>
    <t>ericphillips@gardner-parsons.biz</t>
  </si>
  <si>
    <t>Natalie Phillips</t>
  </si>
  <si>
    <t>Benjamin Wilson</t>
  </si>
  <si>
    <t>POL3389854</t>
  </si>
  <si>
    <t>jesse66@hotmail.com</t>
  </si>
  <si>
    <t>+61 424 282 572</t>
  </si>
  <si>
    <t>Carla Aguirre</t>
  </si>
  <si>
    <t>Megan Mitchell</t>
  </si>
  <si>
    <t>POL5709069</t>
  </si>
  <si>
    <t>parkchristopher@simon-lewis.net.au</t>
  </si>
  <si>
    <t>03-3943-2645</t>
  </si>
  <si>
    <t>Tanya Williams</t>
  </si>
  <si>
    <t>Travis Parker</t>
  </si>
  <si>
    <t>POL7819312</t>
  </si>
  <si>
    <t>valerie50@yahoo.com</t>
  </si>
  <si>
    <t>0470-071-480</t>
  </si>
  <si>
    <t>Thomas Wilkinson</t>
  </si>
  <si>
    <t>Mr. Stephen Fitzgerald</t>
  </si>
  <si>
    <t>POL1955548</t>
  </si>
  <si>
    <t>judithramirez@ryan.org</t>
  </si>
  <si>
    <t>+61.7.1949.4323</t>
  </si>
  <si>
    <t>Billy Kim</t>
  </si>
  <si>
    <t>Fernando Smith</t>
  </si>
  <si>
    <t>POL1617193</t>
  </si>
  <si>
    <t>aarondickson@gmail.com</t>
  </si>
  <si>
    <t>(08)-3028-2054</t>
  </si>
  <si>
    <t>Jose Salazar</t>
  </si>
  <si>
    <t>Thomas Mills</t>
  </si>
  <si>
    <t>POL7143808</t>
  </si>
  <si>
    <t>howardmichael@smith-scott.net</t>
  </si>
  <si>
    <t>(07)-9053-5564</t>
  </si>
  <si>
    <t>Sarah Love</t>
  </si>
  <si>
    <t>Lydia Costa</t>
  </si>
  <si>
    <t>POL3402688</t>
  </si>
  <si>
    <t>bmiller@yahoo.com</t>
  </si>
  <si>
    <t>(08)47228725</t>
  </si>
  <si>
    <t>David Perkins</t>
  </si>
  <si>
    <t>Wendy Russell</t>
  </si>
  <si>
    <t>POL7434519</t>
  </si>
  <si>
    <t>pstewart@hale-jimenez.net</t>
  </si>
  <si>
    <t>Scott Harrington</t>
  </si>
  <si>
    <t>John Kennedy</t>
  </si>
  <si>
    <t>POL5287331</t>
  </si>
  <si>
    <t>justinfrazier@yahoo.com.au</t>
  </si>
  <si>
    <t>(02) 7289 4824</t>
  </si>
  <si>
    <t>Ashley Gilmore</t>
  </si>
  <si>
    <t>Crystal Acosta</t>
  </si>
  <si>
    <t>POL5409838</t>
  </si>
  <si>
    <t>zvega@gmail.com</t>
  </si>
  <si>
    <t>+61.409.748.751</t>
  </si>
  <si>
    <t>Melissa Becker</t>
  </si>
  <si>
    <t>Robert Brown</t>
  </si>
  <si>
    <t>POL5732568</t>
  </si>
  <si>
    <t>tzimmerman@hotmail.com.au</t>
  </si>
  <si>
    <t>08.6922.9520</t>
  </si>
  <si>
    <t>John Bentley</t>
  </si>
  <si>
    <t>Deborah Campbell</t>
  </si>
  <si>
    <t>POL1969505</t>
  </si>
  <si>
    <t>lynnkayla@hotmail.com.au</t>
  </si>
  <si>
    <t>5349 1202</t>
  </si>
  <si>
    <t>Sarah Russell</t>
  </si>
  <si>
    <t>Brenda Parker</t>
  </si>
  <si>
    <t>POL2073730</t>
  </si>
  <si>
    <t>ashleymichael@yahoo.com</t>
  </si>
  <si>
    <t>02 5154 4652</t>
  </si>
  <si>
    <t>William Patrick</t>
  </si>
  <si>
    <t>Wayne Simon</t>
  </si>
  <si>
    <t>POL9569871</t>
  </si>
  <si>
    <t>jasonmartin@yahoo.com.au</t>
  </si>
  <si>
    <t>Mr. Lance Schwartz MD</t>
  </si>
  <si>
    <t>Tracy Schultz</t>
  </si>
  <si>
    <t>POL3285258</t>
  </si>
  <si>
    <t>henryromero@gmail.com</t>
  </si>
  <si>
    <t>+61.7.4608.9901</t>
  </si>
  <si>
    <t>Anthony Griffin</t>
  </si>
  <si>
    <t>Amber Ford</t>
  </si>
  <si>
    <t>POL4405733</t>
  </si>
  <si>
    <t>aaron42@silva-smith.com.au</t>
  </si>
  <si>
    <t>0455.047.073</t>
  </si>
  <si>
    <t>Kathleen Gaines</t>
  </si>
  <si>
    <t>Gabriel Williams</t>
  </si>
  <si>
    <t>POL8092913</t>
  </si>
  <si>
    <t>sanfordnicholas@wilson.org</t>
  </si>
  <si>
    <t>Scott Caldwell</t>
  </si>
  <si>
    <t>Sara Foster</t>
  </si>
  <si>
    <t>POL4712614</t>
  </si>
  <si>
    <t>turnerallison@smith.info</t>
  </si>
  <si>
    <t>0437.884.029</t>
  </si>
  <si>
    <t>Dr. Julie Sandoval PhD</t>
  </si>
  <si>
    <t>Roger Maldonado</t>
  </si>
  <si>
    <t>POL1105504</t>
  </si>
  <si>
    <t>jrichard@moore.biz</t>
  </si>
  <si>
    <t>Carol King</t>
  </si>
  <si>
    <t>Angela Wood</t>
  </si>
  <si>
    <t>POL9814777</t>
  </si>
  <si>
    <t>taylormcgrath@trujillo.net.au</t>
  </si>
  <si>
    <t>Susan Little</t>
  </si>
  <si>
    <t>Michelle Roberson</t>
  </si>
  <si>
    <t>POL7786200</t>
  </si>
  <si>
    <t>amanda03@hotmail.com</t>
  </si>
  <si>
    <t>(02).0649.2793</t>
  </si>
  <si>
    <t>Matthew Mendez</t>
  </si>
  <si>
    <t>Randy Sanders</t>
  </si>
  <si>
    <t>POL6149297</t>
  </si>
  <si>
    <t>hannahhawkins@rodriguez.com</t>
  </si>
  <si>
    <t>(08).7123.6164</t>
  </si>
  <si>
    <t>Kelly Ford</t>
  </si>
  <si>
    <t>Wesley Montgomery</t>
  </si>
  <si>
    <t>POL2130826</t>
  </si>
  <si>
    <t>elizabeth70@ryan.org</t>
  </si>
  <si>
    <t>08-9375-4139</t>
  </si>
  <si>
    <t>Sarah Gross</t>
  </si>
  <si>
    <t>Anna Walter</t>
  </si>
  <si>
    <t>POL8461695</t>
  </si>
  <si>
    <t>agarcia@fields-moore.com.au</t>
  </si>
  <si>
    <t>03-2391-7779</t>
  </si>
  <si>
    <t>Jennifer Rush</t>
  </si>
  <si>
    <t>Juan Stanley</t>
  </si>
  <si>
    <t>POL2852489</t>
  </si>
  <si>
    <t>colleen42@robinson.org.au</t>
  </si>
  <si>
    <t>(08)56555066</t>
  </si>
  <si>
    <t>Casey Adkins</t>
  </si>
  <si>
    <t>Cynthia Charles</t>
  </si>
  <si>
    <t>POL1745984</t>
  </si>
  <si>
    <t>jsanchez@yahoo.com.au</t>
  </si>
  <si>
    <t>Allison Jones</t>
  </si>
  <si>
    <t>Brianna Evans</t>
  </si>
  <si>
    <t>POL8323932</t>
  </si>
  <si>
    <t>paulhiggins@gmail.com</t>
  </si>
  <si>
    <t>03 3519 7192</t>
  </si>
  <si>
    <t>Casey Luna DDS</t>
  </si>
  <si>
    <t>Lydia Mitchell</t>
  </si>
  <si>
    <t>POL8069765</t>
  </si>
  <si>
    <t>cleon@gmail.com</t>
  </si>
  <si>
    <t>+61.7.7716.2686</t>
  </si>
  <si>
    <t>Daniel Sanchez</t>
  </si>
  <si>
    <t>Javier Peterson MD</t>
  </si>
  <si>
    <t>POL5055634</t>
  </si>
  <si>
    <t>williamsmallory@horton.com</t>
  </si>
  <si>
    <t>02-0880-1461</t>
  </si>
  <si>
    <t>Alexander Johnston</t>
  </si>
  <si>
    <t>Barbara Richard</t>
  </si>
  <si>
    <t>POL7534727</t>
  </si>
  <si>
    <t>hancockjohn@larsen-moore.com.au</t>
  </si>
  <si>
    <t>02.6248.7052</t>
  </si>
  <si>
    <t>Joe Rodriguez</t>
  </si>
  <si>
    <t>Jessica Ingram</t>
  </si>
  <si>
    <t>POL1859053</t>
  </si>
  <si>
    <t>julie27@christensen-clements.net</t>
  </si>
  <si>
    <t>Ricky Scott</t>
  </si>
  <si>
    <t>John Johnson</t>
  </si>
  <si>
    <t>POL5754509</t>
  </si>
  <si>
    <t>abbottpaula@yahoo.com</t>
  </si>
  <si>
    <t>03 8770 4518</t>
  </si>
  <si>
    <t>Nicholas Lynch</t>
  </si>
  <si>
    <t>Janice Rogers</t>
  </si>
  <si>
    <t>POL3416963</t>
  </si>
  <si>
    <t>lammario@hotmail.com</t>
  </si>
  <si>
    <t>(07) 6855 0763</t>
  </si>
  <si>
    <t>Cody Hoffman MD</t>
  </si>
  <si>
    <t>Katherine Hawkins</t>
  </si>
  <si>
    <t>POL9087580</t>
  </si>
  <si>
    <t>richard90@gmail.com</t>
  </si>
  <si>
    <t>Phillip Green</t>
  </si>
  <si>
    <t>Ryan Marshall</t>
  </si>
  <si>
    <t>POL1775143</t>
  </si>
  <si>
    <t>bakerstephanie@yahoo.com</t>
  </si>
  <si>
    <t>(03) 7784 6201</t>
  </si>
  <si>
    <t>Jessica Mccullough</t>
  </si>
  <si>
    <t>Kyle Anderson</t>
  </si>
  <si>
    <t>POL7821264</t>
  </si>
  <si>
    <t>wilsoncarol@reyes.org.au</t>
  </si>
  <si>
    <t>+61 414 629 950</t>
  </si>
  <si>
    <t>Emily Soto</t>
  </si>
  <si>
    <t>Natalie Rodriguez</t>
  </si>
  <si>
    <t>POL9584379</t>
  </si>
  <si>
    <t>jtorres@thompson.net.au</t>
  </si>
  <si>
    <t>07.5882.2515</t>
  </si>
  <si>
    <t>Sandra Bray</t>
  </si>
  <si>
    <t>Darren Weber</t>
  </si>
  <si>
    <t>POL5730787</t>
  </si>
  <si>
    <t>holmesbonnie@yahoo.com.au</t>
  </si>
  <si>
    <t>0408-023-736</t>
  </si>
  <si>
    <t>Daniel Smith</t>
  </si>
  <si>
    <t>John Lewis</t>
  </si>
  <si>
    <t>POL1626716</t>
  </si>
  <si>
    <t>bettylynn@hotmail.com.au</t>
  </si>
  <si>
    <t>0473 293 788</t>
  </si>
  <si>
    <t>Joseph Clark</t>
  </si>
  <si>
    <t>Laura Smith</t>
  </si>
  <si>
    <t>POL1288978</t>
  </si>
  <si>
    <t>troybrown@gmail.com</t>
  </si>
  <si>
    <t>02.0809.0147</t>
  </si>
  <si>
    <t>Candace Harris</t>
  </si>
  <si>
    <t>Frank Rios</t>
  </si>
  <si>
    <t>POL6051207</t>
  </si>
  <si>
    <t>deanna29@holland.edu.au</t>
  </si>
  <si>
    <t>+61.405.961.469</t>
  </si>
  <si>
    <t>Pamela Jones</t>
  </si>
  <si>
    <t>Emily Simpson</t>
  </si>
  <si>
    <t>POL6128842</t>
  </si>
  <si>
    <t>heidireyes@curtis-wheeler.info</t>
  </si>
  <si>
    <t>+61 2 5726 6159</t>
  </si>
  <si>
    <t>Mr. Henry Jimenez</t>
  </si>
  <si>
    <t>Crystal Stokes</t>
  </si>
  <si>
    <t>POL5903067</t>
  </si>
  <si>
    <t>fhoward@johnston.net.au</t>
  </si>
  <si>
    <t>+61.2.7914.9028</t>
  </si>
  <si>
    <t>Amanda Juarez</t>
  </si>
  <si>
    <t>Carrie Riley</t>
  </si>
  <si>
    <t>POL9667628</t>
  </si>
  <si>
    <t>jacob81@hotmail.com.au</t>
  </si>
  <si>
    <t>(03) 5094 5930</t>
  </si>
  <si>
    <t>Robert Rivera</t>
  </si>
  <si>
    <t>Sabrina Bass</t>
  </si>
  <si>
    <t>POL1194083</t>
  </si>
  <si>
    <t>ygarner@smith.biz</t>
  </si>
  <si>
    <t>Maria Palmer</t>
  </si>
  <si>
    <t>John Wagner</t>
  </si>
  <si>
    <t>POL8312272</t>
  </si>
  <si>
    <t>codydougherty@velasquez.edu.au</t>
  </si>
  <si>
    <t>+61.3.5993.0627</t>
  </si>
  <si>
    <t>Scott Gonzalez</t>
  </si>
  <si>
    <t>Ashley Prince</t>
  </si>
  <si>
    <t>POL8393497</t>
  </si>
  <si>
    <t>thompsonmichael@hotmail.com</t>
  </si>
  <si>
    <t>0491.756.120</t>
  </si>
  <si>
    <t>Kara Smith</t>
  </si>
  <si>
    <t>Hailey Hill</t>
  </si>
  <si>
    <t>POL2959736</t>
  </si>
  <si>
    <t>mooreabigail@rosales.edu.au</t>
  </si>
  <si>
    <t>7737 2441</t>
  </si>
  <si>
    <t>Donald Campbell</t>
  </si>
  <si>
    <t>Laura Wright</t>
  </si>
  <si>
    <t>POL5044813</t>
  </si>
  <si>
    <t>tammy56@fox.org</t>
  </si>
  <si>
    <t>+61 2 4099 7155</t>
  </si>
  <si>
    <t>Jennifer Lopez</t>
  </si>
  <si>
    <t>Mrs. Kathy Hooper</t>
  </si>
  <si>
    <t>POL2050562</t>
  </si>
  <si>
    <t>kbrady@yahoo.com</t>
  </si>
  <si>
    <t>Christopher Patrick</t>
  </si>
  <si>
    <t>Angelica Clark</t>
  </si>
  <si>
    <t>POL2262566</t>
  </si>
  <si>
    <t>barnettlinda@patrick.com</t>
  </si>
  <si>
    <t>7645 9433</t>
  </si>
  <si>
    <t>Vanessa Mcguire</t>
  </si>
  <si>
    <t>Melinda Woods</t>
  </si>
  <si>
    <t>POL9368632</t>
  </si>
  <si>
    <t>vchoi@jones.edu</t>
  </si>
  <si>
    <t>03 4843 8394</t>
  </si>
  <si>
    <t>Jeanette George</t>
  </si>
  <si>
    <t>Victoria Miller</t>
  </si>
  <si>
    <t>POL2594219</t>
  </si>
  <si>
    <t>bradybryan@henry.com.au</t>
  </si>
  <si>
    <t>1092 6365</t>
  </si>
  <si>
    <t>Tina White</t>
  </si>
  <si>
    <t>Samuel Moore</t>
  </si>
  <si>
    <t>POL9561168</t>
  </si>
  <si>
    <t>kleinduane@gutierrez-carter.edu</t>
  </si>
  <si>
    <t>(07) 0014 7461</t>
  </si>
  <si>
    <t>Kyle Zamora</t>
  </si>
  <si>
    <t>Anthony Gutierrez</t>
  </si>
  <si>
    <t>POL7154370</t>
  </si>
  <si>
    <t>fdavis@garza.biz</t>
  </si>
  <si>
    <t>Mr. Joseph Taylor DDS</t>
  </si>
  <si>
    <t>Vickie Castro</t>
  </si>
  <si>
    <t>POL6306851</t>
  </si>
  <si>
    <t>brownkaren@gmail.com</t>
  </si>
  <si>
    <t>+61 476 842 221</t>
  </si>
  <si>
    <t>Lucas Carrillo</t>
  </si>
  <si>
    <t>Mark Weaver</t>
  </si>
  <si>
    <t>POL1356683</t>
  </si>
  <si>
    <t>zjohnson@hunt.edu.au</t>
  </si>
  <si>
    <t>(03) 7795 7876</t>
  </si>
  <si>
    <t>Stephanie James</t>
  </si>
  <si>
    <t>Heather Barajas</t>
  </si>
  <si>
    <t>POL3035850</t>
  </si>
  <si>
    <t>dlopez@valdez.edu.au</t>
  </si>
  <si>
    <t>(08)11505144</t>
  </si>
  <si>
    <t>David Stevens</t>
  </si>
  <si>
    <t>Scott Hogan</t>
  </si>
  <si>
    <t>POL1106169</t>
  </si>
  <si>
    <t>dporter@taylor-williams.com</t>
  </si>
  <si>
    <t>Tanner Rodriguez</t>
  </si>
  <si>
    <t>Ronald Bell</t>
  </si>
  <si>
    <t>POL3219733</t>
  </si>
  <si>
    <t>melissablake@hotmail.com</t>
  </si>
  <si>
    <t>0400 173 545</t>
  </si>
  <si>
    <t>Linda Perry</t>
  </si>
  <si>
    <t>Amy Reid</t>
  </si>
  <si>
    <t>POL5824042</t>
  </si>
  <si>
    <t>austinmendoza@george.biz</t>
  </si>
  <si>
    <t>+61.426.918.430</t>
  </si>
  <si>
    <t>Andrea Shaw</t>
  </si>
  <si>
    <t>Laura Hernandez</t>
  </si>
  <si>
    <t>POL3353447</t>
  </si>
  <si>
    <t>awilliams@gmail.com</t>
  </si>
  <si>
    <t>(08)-3214-5174</t>
  </si>
  <si>
    <t>Dennis Martin</t>
  </si>
  <si>
    <t>Veronica Hunter</t>
  </si>
  <si>
    <t>POL5623500</t>
  </si>
  <si>
    <t>garciamichelle@yahoo.com.au</t>
  </si>
  <si>
    <t>1619-7166</t>
  </si>
  <si>
    <t>Kimberly Johnson</t>
  </si>
  <si>
    <t>Edward Pope</t>
  </si>
  <si>
    <t>POL2816238</t>
  </si>
  <si>
    <t>pricejudith@hall.org.au</t>
  </si>
  <si>
    <t>02.2752.1500</t>
  </si>
  <si>
    <t>Penny Castillo</t>
  </si>
  <si>
    <t>Justin Hernandez</t>
  </si>
  <si>
    <t>POL8207722</t>
  </si>
  <si>
    <t>smithemily@hotmail.com</t>
  </si>
  <si>
    <t>+61.3.0702.2942</t>
  </si>
  <si>
    <t>Pamela Cox</t>
  </si>
  <si>
    <t>Wesley Russell</t>
  </si>
  <si>
    <t>POL7855899</t>
  </si>
  <si>
    <t>russotara@scott-norris.info</t>
  </si>
  <si>
    <t>+61.8.3355.0298</t>
  </si>
  <si>
    <t>Cassidy Preston</t>
  </si>
  <si>
    <t>Kimberly Williams</t>
  </si>
  <si>
    <t>POL6973026</t>
  </si>
  <si>
    <t>john23@nunez-mack.org</t>
  </si>
  <si>
    <t>+61 424 664 184</t>
  </si>
  <si>
    <t>John Williams</t>
  </si>
  <si>
    <t>Katie Gray</t>
  </si>
  <si>
    <t>POL9317711</t>
  </si>
  <si>
    <t>sanchezlogan@clark.biz</t>
  </si>
  <si>
    <t>(03)04352738</t>
  </si>
  <si>
    <t>Emily Powell</t>
  </si>
  <si>
    <t>Megan Smith</t>
  </si>
  <si>
    <t>POL5498174</t>
  </si>
  <si>
    <t>kevin49@wright-butler.edu</t>
  </si>
  <si>
    <t>0473 709 577</t>
  </si>
  <si>
    <t>Tracy Meyer</t>
  </si>
  <si>
    <t>Jennifer Mcdonald</t>
  </si>
  <si>
    <t>POL6198618</t>
  </si>
  <si>
    <t>alec98@hotmail.com</t>
  </si>
  <si>
    <t>0467 768 372</t>
  </si>
  <si>
    <t>Jeffrey Jimenez</t>
  </si>
  <si>
    <t>Theresa Harvey</t>
  </si>
  <si>
    <t>POL6909558</t>
  </si>
  <si>
    <t>emilybryant@hotmail.com.au</t>
  </si>
  <si>
    <t>0429-387-690</t>
  </si>
  <si>
    <t>Eric Washington</t>
  </si>
  <si>
    <t>Jeffrey Schmidt</t>
  </si>
  <si>
    <t>POL6411093</t>
  </si>
  <si>
    <t>phernandez@yahoo.com.au</t>
  </si>
  <si>
    <t>(03)-8264-3547</t>
  </si>
  <si>
    <t>Christopher Keller</t>
  </si>
  <si>
    <t>Calvin Cruz</t>
  </si>
  <si>
    <t>POL9631318</t>
  </si>
  <si>
    <t>michaelsingh@hotmail.com.au</t>
  </si>
  <si>
    <t>Diane Garcia</t>
  </si>
  <si>
    <t>Sydney Cox</t>
  </si>
  <si>
    <t>POL5222573</t>
  </si>
  <si>
    <t>edwardfarrell@hotmail.com</t>
  </si>
  <si>
    <t>(07)30400994</t>
  </si>
  <si>
    <t>Nicholas Miller</t>
  </si>
  <si>
    <t>Caroline Deleon</t>
  </si>
  <si>
    <t>POL5090920</t>
  </si>
  <si>
    <t>jillhorne@hotmail.com.au</t>
  </si>
  <si>
    <t>(07) 0359 2113</t>
  </si>
  <si>
    <t>Alex Mccall</t>
  </si>
  <si>
    <t>Joseph Morris</t>
  </si>
  <si>
    <t>POL5633007</t>
  </si>
  <si>
    <t>john07@hardin.edu</t>
  </si>
  <si>
    <t>07 7463 2626</t>
  </si>
  <si>
    <t>Danny Montes</t>
  </si>
  <si>
    <t>Robert Wright IV</t>
  </si>
  <si>
    <t>POL9737548</t>
  </si>
  <si>
    <t>gvance@wilkins-price.org.au</t>
  </si>
  <si>
    <t>Hannah Dalton</t>
  </si>
  <si>
    <t>Tamara Nguyen</t>
  </si>
  <si>
    <t>POL1534056</t>
  </si>
  <si>
    <t>meyerschloe@gmail.com</t>
  </si>
  <si>
    <t>6887-9724</t>
  </si>
  <si>
    <t>Jerry Monroe</t>
  </si>
  <si>
    <t>John Massey</t>
  </si>
  <si>
    <t>POL3674725</t>
  </si>
  <si>
    <t>kevinhughes@brewer-richards.net.au</t>
  </si>
  <si>
    <t>0412.223.581</t>
  </si>
  <si>
    <t>Scott Evans</t>
  </si>
  <si>
    <t>Jasmine Jenkins</t>
  </si>
  <si>
    <t>POL6356538</t>
  </si>
  <si>
    <t>tammy09@hawkins.net.au</t>
  </si>
  <si>
    <t>+61 2 8889 3909</t>
  </si>
  <si>
    <t>Amy Vasquez</t>
  </si>
  <si>
    <t>Jason Copeland</t>
  </si>
  <si>
    <t>POL6346696</t>
  </si>
  <si>
    <t>alexandermary@gmail.com</t>
  </si>
  <si>
    <t>07-0704-9036</t>
  </si>
  <si>
    <t>Jenna Price DDS</t>
  </si>
  <si>
    <t>Travis Rios</t>
  </si>
  <si>
    <t>POL3860208</t>
  </si>
  <si>
    <t>qvalentine@mullen.com.au</t>
  </si>
  <si>
    <t>(02)85274093</t>
  </si>
  <si>
    <t>Anthony Walsh</t>
  </si>
  <si>
    <t>Kimberly Jensen</t>
  </si>
  <si>
    <t>POL5269470</t>
  </si>
  <si>
    <t>michelleking@avila.org</t>
  </si>
  <si>
    <t>(02) 9590 6828</t>
  </si>
  <si>
    <t>Christine Fry</t>
  </si>
  <si>
    <t>David Williams</t>
  </si>
  <si>
    <t>POL9608590</t>
  </si>
  <si>
    <t>gloria20@fernandez.biz</t>
  </si>
  <si>
    <t>(02) 3744 8503</t>
  </si>
  <si>
    <t>Terry Vincent</t>
  </si>
  <si>
    <t>Erik Moran</t>
  </si>
  <si>
    <t>POL4436806</t>
  </si>
  <si>
    <t>xjohnson@evans-landry.edu.au</t>
  </si>
  <si>
    <t>Tammy Ford</t>
  </si>
  <si>
    <t>Joseph Klein</t>
  </si>
  <si>
    <t>POL1308544</t>
  </si>
  <si>
    <t>david08@tucker.biz</t>
  </si>
  <si>
    <t>6380 8439</t>
  </si>
  <si>
    <t>Sandra Miller</t>
  </si>
  <si>
    <t>Nathan Schultz</t>
  </si>
  <si>
    <t>POL2882238</t>
  </si>
  <si>
    <t>brandonmontoya@haynes.com</t>
  </si>
  <si>
    <t>(03).3000.3761</t>
  </si>
  <si>
    <t>Mr. Dustin Mcclure</t>
  </si>
  <si>
    <t>Aaron Terrell</t>
  </si>
  <si>
    <t>POL4734542</t>
  </si>
  <si>
    <t>virginiafigueroa@smith.info</t>
  </si>
  <si>
    <t>+61.7.2535.4098</t>
  </si>
  <si>
    <t>Brittany Huff</t>
  </si>
  <si>
    <t>Timothy Graham</t>
  </si>
  <si>
    <t>POL7032154</t>
  </si>
  <si>
    <t>simmonserica@morales.com</t>
  </si>
  <si>
    <t>0487 623 942</t>
  </si>
  <si>
    <t>Paul Carney</t>
  </si>
  <si>
    <t>Phillip Larson</t>
  </si>
  <si>
    <t>POL9089582</t>
  </si>
  <si>
    <t>shannonklein@castro.org.au</t>
  </si>
  <si>
    <t>Michael Haas</t>
  </si>
  <si>
    <t>Andrea Baldwin</t>
  </si>
  <si>
    <t>POL1553132</t>
  </si>
  <si>
    <t>michaelsantiago@yahoo.com</t>
  </si>
  <si>
    <t>Jacob Pitts MD</t>
  </si>
  <si>
    <t>Kristina Harrington</t>
  </si>
  <si>
    <t>POL7621943</t>
  </si>
  <si>
    <t>david26@simmons.net.au</t>
  </si>
  <si>
    <t>Catherine Leon</t>
  </si>
  <si>
    <t>Melissa Gonzales</t>
  </si>
  <si>
    <t>POL1657870</t>
  </si>
  <si>
    <t>brett28@gmail.com</t>
  </si>
  <si>
    <t>(03)81099994</t>
  </si>
  <si>
    <t>Susan Hernandez</t>
  </si>
  <si>
    <t>Carla Dalton</t>
  </si>
  <si>
    <t>POL7740901</t>
  </si>
  <si>
    <t>elizabethstanley@yahoo.com.au</t>
  </si>
  <si>
    <t>(02)-3785-9899</t>
  </si>
  <si>
    <t>Leslie Silva</t>
  </si>
  <si>
    <t>Deborah Scott</t>
  </si>
  <si>
    <t>POL2207878</t>
  </si>
  <si>
    <t>francisco02@kelly.com.au</t>
  </si>
  <si>
    <t>03 9866 1066</t>
  </si>
  <si>
    <t>Howard Dillon</t>
  </si>
  <si>
    <t>Lawrence Jackson</t>
  </si>
  <si>
    <t>POL8720470</t>
  </si>
  <si>
    <t>gonzalesmolly@burke.biz</t>
  </si>
  <si>
    <t>Taylor Perez</t>
  </si>
  <si>
    <t>Stacy Woods</t>
  </si>
  <si>
    <t>POL5972596</t>
  </si>
  <si>
    <t>cookejames@hotmail.com.au</t>
  </si>
  <si>
    <t>5925-3603</t>
  </si>
  <si>
    <t>Walter Pierce</t>
  </si>
  <si>
    <t>Karina Schultz</t>
  </si>
  <si>
    <t>POL5865099</t>
  </si>
  <si>
    <t>sandra05@hotmail.com</t>
  </si>
  <si>
    <t>0499 739 086</t>
  </si>
  <si>
    <t>Michael Jordan</t>
  </si>
  <si>
    <t>Jackie Shelton</t>
  </si>
  <si>
    <t>POL1362395</t>
  </si>
  <si>
    <t>willistracy@morrison.org.au</t>
  </si>
  <si>
    <t>03.8318.6548</t>
  </si>
  <si>
    <t>Matthew Cortez</t>
  </si>
  <si>
    <t>Felicia Brown</t>
  </si>
  <si>
    <t>POL5249453</t>
  </si>
  <si>
    <t>dherrera@yahoo.com.au</t>
  </si>
  <si>
    <t>0410-031-476</t>
  </si>
  <si>
    <t>Heather Robinson DDS</t>
  </si>
  <si>
    <t>Valerie Walker</t>
  </si>
  <si>
    <t>POL1526996</t>
  </si>
  <si>
    <t>arnoldlisa@steele.org.au</t>
  </si>
  <si>
    <t>02.1718.1840</t>
  </si>
  <si>
    <t>Edward Leonard</t>
  </si>
  <si>
    <t>Justin Davis</t>
  </si>
  <si>
    <t>POL8873680</t>
  </si>
  <si>
    <t>anthonyward@cooper-martinez.biz</t>
  </si>
  <si>
    <t>Katherine Adams</t>
  </si>
  <si>
    <t>Anthony Schaefer</t>
  </si>
  <si>
    <t>POL8252253</t>
  </si>
  <si>
    <t>hraymond@sexton.com</t>
  </si>
  <si>
    <t>Melinda Steele</t>
  </si>
  <si>
    <t>Kelly Brady</t>
  </si>
  <si>
    <t>POL7875265</t>
  </si>
  <si>
    <t>bknapp@hotmail.com.au</t>
  </si>
  <si>
    <t>+61 2 6009 0784</t>
  </si>
  <si>
    <t>Sabrina Parker</t>
  </si>
  <si>
    <t>Dr. Cory Martinez</t>
  </si>
  <si>
    <t>POL9771421</t>
  </si>
  <si>
    <t>smithdavid@yahoo.com</t>
  </si>
  <si>
    <t>(08).0033.9166</t>
  </si>
  <si>
    <t>Jason Martinez</t>
  </si>
  <si>
    <t>Adriana Glass</t>
  </si>
  <si>
    <t>POL5365036</t>
  </si>
  <si>
    <t>nortiz@gmail.com</t>
  </si>
  <si>
    <t>Ashley Cox</t>
  </si>
  <si>
    <t>Sydney Brown</t>
  </si>
  <si>
    <t>POL6224197</t>
  </si>
  <si>
    <t>mackchristine@kramer-hanson.edu</t>
  </si>
  <si>
    <t>Mark Nicholson</t>
  </si>
  <si>
    <t>Melissa Brooks</t>
  </si>
  <si>
    <t>POL3070717</t>
  </si>
  <si>
    <t>chavezjesse@hotmail.com</t>
  </si>
  <si>
    <t>(07)-6527-7144</t>
  </si>
  <si>
    <t>Casey Jones</t>
  </si>
  <si>
    <t>Benjamin Campbell</t>
  </si>
  <si>
    <t>POL1767600</t>
  </si>
  <si>
    <t>joanne08@gmail.com</t>
  </si>
  <si>
    <t>0446 915 972</t>
  </si>
  <si>
    <t>Kelly Allen</t>
  </si>
  <si>
    <t>Ricardo King</t>
  </si>
  <si>
    <t>POL6531713</t>
  </si>
  <si>
    <t>joshuacurry@gmail.com</t>
  </si>
  <si>
    <t>+61 426 925 110</t>
  </si>
  <si>
    <t>Carol Gallagher</t>
  </si>
  <si>
    <t>Tyler Wade</t>
  </si>
  <si>
    <t>POL8639081</t>
  </si>
  <si>
    <t>whitakerkaren@hotmail.com</t>
  </si>
  <si>
    <t>(08)-0716-3405</t>
  </si>
  <si>
    <t>Bridget Mason</t>
  </si>
  <si>
    <t>Brian Jones</t>
  </si>
  <si>
    <t>POL5069364</t>
  </si>
  <si>
    <t>courtneyrose@hotmail.com</t>
  </si>
  <si>
    <t>03.6987.7945</t>
  </si>
  <si>
    <t>Steven Anderson</t>
  </si>
  <si>
    <t>Victoria Lee</t>
  </si>
  <si>
    <t>POL6037857</t>
  </si>
  <si>
    <t>oschmidt@hotmail.com</t>
  </si>
  <si>
    <t>Molly Sanders</t>
  </si>
  <si>
    <t>Angel Ho</t>
  </si>
  <si>
    <t>POL5157577</t>
  </si>
  <si>
    <t>jeffery32@hotmail.com</t>
  </si>
  <si>
    <t>Megan Gray</t>
  </si>
  <si>
    <t>Anthony Arroyo</t>
  </si>
  <si>
    <t>POL4421925</t>
  </si>
  <si>
    <t>whitedawn@yahoo.com.au</t>
  </si>
  <si>
    <t>0424-600-494</t>
  </si>
  <si>
    <t>Evan Nelson</t>
  </si>
  <si>
    <t>David Winters</t>
  </si>
  <si>
    <t>POL2129329</t>
  </si>
  <si>
    <t>lauracooper@yahoo.com.au</t>
  </si>
  <si>
    <t>0483-807-678</t>
  </si>
  <si>
    <t>Gregory Thompson</t>
  </si>
  <si>
    <t>Catherine Massey</t>
  </si>
  <si>
    <t>POL1757260</t>
  </si>
  <si>
    <t>chasesarah@yahoo.com</t>
  </si>
  <si>
    <t>0448 851 728</t>
  </si>
  <si>
    <t>April Gonzalez</t>
  </si>
  <si>
    <t>Brandi Griffith</t>
  </si>
  <si>
    <t>POL4327032</t>
  </si>
  <si>
    <t>cbrown@hotmail.com</t>
  </si>
  <si>
    <t>+61 420 288 187</t>
  </si>
  <si>
    <t>Laurie Jackson</t>
  </si>
  <si>
    <t>Anthony Obrien</t>
  </si>
  <si>
    <t>POL7859010</t>
  </si>
  <si>
    <t>hodgesisabella@yahoo.com</t>
  </si>
  <si>
    <t>+61 419 676 782</t>
  </si>
  <si>
    <t>Kelly Cummings</t>
  </si>
  <si>
    <t>Richard Carter</t>
  </si>
  <si>
    <t>POL4657329</t>
  </si>
  <si>
    <t>krodgers@hotmail.com</t>
  </si>
  <si>
    <t>+61 423 121 570</t>
  </si>
  <si>
    <t>Kimberly Robinson</t>
  </si>
  <si>
    <t>Jessica Sandoval</t>
  </si>
  <si>
    <t>POL6215931</t>
  </si>
  <si>
    <t>gonzalesbryan@hotmail.com</t>
  </si>
  <si>
    <t>Jimmy Marshall</t>
  </si>
  <si>
    <t>Lisa Moore</t>
  </si>
  <si>
    <t>POL5432912</t>
  </si>
  <si>
    <t>brownadrian@henderson-martin.com</t>
  </si>
  <si>
    <t>+61 407 615 388</t>
  </si>
  <si>
    <t>Kathryn Parker</t>
  </si>
  <si>
    <t>Gary Patterson</t>
  </si>
  <si>
    <t>POL4801373</t>
  </si>
  <si>
    <t>charles48@gmail.com</t>
  </si>
  <si>
    <t>Luis Nguyen</t>
  </si>
  <si>
    <t>Michelle Martinez</t>
  </si>
  <si>
    <t>POL4496186</t>
  </si>
  <si>
    <t>nicolebradford@hotmail.com.au</t>
  </si>
  <si>
    <t>Melissa Turner</t>
  </si>
  <si>
    <t>Jacob Butler</t>
  </si>
  <si>
    <t>POL1075233</t>
  </si>
  <si>
    <t>alejandrohenry@yahoo.com</t>
  </si>
  <si>
    <t>07-7508-9885</t>
  </si>
  <si>
    <t>Kevin Gibson</t>
  </si>
  <si>
    <t>Melissa Bailey</t>
  </si>
  <si>
    <t>POL3888225</t>
  </si>
  <si>
    <t>kiddmelissa@hernandez.net.au</t>
  </si>
  <si>
    <t>Angela Lane</t>
  </si>
  <si>
    <t>Debra Stone</t>
  </si>
  <si>
    <t>POL6990480</t>
  </si>
  <si>
    <t>samanthalambert@yahoo.com</t>
  </si>
  <si>
    <t>+61 467 122 203</t>
  </si>
  <si>
    <t>Ashley Campbell</t>
  </si>
  <si>
    <t>William Taylor</t>
  </si>
  <si>
    <t>POL8496820</t>
  </si>
  <si>
    <t>gina59@olson.edu.au</t>
  </si>
  <si>
    <t>0404.978.677</t>
  </si>
  <si>
    <t>Robert Shaw</t>
  </si>
  <si>
    <t>Carrie Larson</t>
  </si>
  <si>
    <t>POL4134488</t>
  </si>
  <si>
    <t>mgibbs@kerr.com</t>
  </si>
  <si>
    <t>(02)-7831-9330</t>
  </si>
  <si>
    <t>Jennifer Kelley</t>
  </si>
  <si>
    <t>Elizabeth James</t>
  </si>
  <si>
    <t>POL5912638</t>
  </si>
  <si>
    <t>smartinez@hotmail.com.au</t>
  </si>
  <si>
    <t>(02) 4949 9615</t>
  </si>
  <si>
    <t>Carol Whitaker</t>
  </si>
  <si>
    <t>William Ewing</t>
  </si>
  <si>
    <t>POL8650350</t>
  </si>
  <si>
    <t>jonescrystal@hotmail.com.au</t>
  </si>
  <si>
    <t>+61.3.2463.5344</t>
  </si>
  <si>
    <t>Diana Proctor</t>
  </si>
  <si>
    <t>Rachel Johnson</t>
  </si>
  <si>
    <t>POL4062896</t>
  </si>
  <si>
    <t>calvin60@yahoo.com.au</t>
  </si>
  <si>
    <t>8631 9963</t>
  </si>
  <si>
    <t>Tanner Evans</t>
  </si>
  <si>
    <t>Tamara Mcdaniel</t>
  </si>
  <si>
    <t>POL1143466</t>
  </si>
  <si>
    <t>fordjoseph@powers-villa.biz</t>
  </si>
  <si>
    <t>Emily Reynolds</t>
  </si>
  <si>
    <t>Jessica Galvan</t>
  </si>
  <si>
    <t>POL8928234</t>
  </si>
  <si>
    <t>yvette20@yahoo.com.au</t>
  </si>
  <si>
    <t>0433.742.732</t>
  </si>
  <si>
    <t>Terry Warren</t>
  </si>
  <si>
    <t>Aaron Christian</t>
  </si>
  <si>
    <t>POL8096253</t>
  </si>
  <si>
    <t>claytracy@gmail.com</t>
  </si>
  <si>
    <t>02.0205.0003</t>
  </si>
  <si>
    <t>Christopher Schultz</t>
  </si>
  <si>
    <t>Lauren Baker</t>
  </si>
  <si>
    <t>POL9579548</t>
  </si>
  <si>
    <t>petersonjohn@reyes.org.au</t>
  </si>
  <si>
    <t>Kenneth Escobar</t>
  </si>
  <si>
    <t>John Marquez</t>
  </si>
  <si>
    <t>POL3426247</t>
  </si>
  <si>
    <t>kmorris@yahoo.com.au</t>
  </si>
  <si>
    <t>+61 499 662 514</t>
  </si>
  <si>
    <t>David Powell</t>
  </si>
  <si>
    <t>Jane Prince</t>
  </si>
  <si>
    <t>POL1367435</t>
  </si>
  <si>
    <t>sherrymorris@bray.edu</t>
  </si>
  <si>
    <t>+61.8.8817.9287</t>
  </si>
  <si>
    <t>James Wagner</t>
  </si>
  <si>
    <t>Audrey Robertson</t>
  </si>
  <si>
    <t>POL7489930</t>
  </si>
  <si>
    <t>vbutler@yahoo.com.au</t>
  </si>
  <si>
    <t>+61 8 1034 2988</t>
  </si>
  <si>
    <t>Anthony Wallace</t>
  </si>
  <si>
    <t>Heather Rodriguez</t>
  </si>
  <si>
    <t>POL8339931</t>
  </si>
  <si>
    <t>martinezheidi@hotmail.com.au</t>
  </si>
  <si>
    <t>0442.198.825</t>
  </si>
  <si>
    <t>Gary Miller</t>
  </si>
  <si>
    <t>Steven Weeks</t>
  </si>
  <si>
    <t>POL5988758</t>
  </si>
  <si>
    <t>michael64@gmail.com</t>
  </si>
  <si>
    <t>0423 681 535</t>
  </si>
  <si>
    <t>Melanie Miranda</t>
  </si>
  <si>
    <t>POL7194498</t>
  </si>
  <si>
    <t>perezlydia@yahoo.com</t>
  </si>
  <si>
    <t>0413.032.985</t>
  </si>
  <si>
    <t>Amanda Case</t>
  </si>
  <si>
    <t>Preston Henry</t>
  </si>
  <si>
    <t>POL9132139</t>
  </si>
  <si>
    <t>scottjennings@martinez.com.au</t>
  </si>
  <si>
    <t>5134-7674</t>
  </si>
  <si>
    <t>Angela Cooper</t>
  </si>
  <si>
    <t>Kyle Mcconnell</t>
  </si>
  <si>
    <t>POL3967471</t>
  </si>
  <si>
    <t>nathanielsnyder@chen.org</t>
  </si>
  <si>
    <t>07 9455 4931</t>
  </si>
  <si>
    <t>Wendy Roth</t>
  </si>
  <si>
    <t>Kyle Chan</t>
  </si>
  <si>
    <t>POL6306421</t>
  </si>
  <si>
    <t>shaun13@brown.net</t>
  </si>
  <si>
    <t>07.3363.6471</t>
  </si>
  <si>
    <t>Michelle Mejia</t>
  </si>
  <si>
    <t>POL6587114</t>
  </si>
  <si>
    <t>dianapowell@martin-hunter.edu</t>
  </si>
  <si>
    <t>08 1073 8791</t>
  </si>
  <si>
    <t>Linda Turner</t>
  </si>
  <si>
    <t>Jessica Hatfield</t>
  </si>
  <si>
    <t>POL7915360</t>
  </si>
  <si>
    <t>hfox@james-brennan.net.au</t>
  </si>
  <si>
    <t>Eric Johnson</t>
  </si>
  <si>
    <t>Gwendolyn Hebert</t>
  </si>
  <si>
    <t>POL8612765</t>
  </si>
  <si>
    <t>laurenwaller@harris.com</t>
  </si>
  <si>
    <t>Chad Kim</t>
  </si>
  <si>
    <t>Marilyn Jensen</t>
  </si>
  <si>
    <t>POL2142448</t>
  </si>
  <si>
    <t>donaldgibbs@west.com.au</t>
  </si>
  <si>
    <t>0416-358-986</t>
  </si>
  <si>
    <t>David Beasley</t>
  </si>
  <si>
    <t>Stanley Berry</t>
  </si>
  <si>
    <t>POL6521526</t>
  </si>
  <si>
    <t>wilkinsonheidi@anderson-bell.com</t>
  </si>
  <si>
    <t>08-6037-2662</t>
  </si>
  <si>
    <t>Michael Johnson</t>
  </si>
  <si>
    <t>Ashley Miller</t>
  </si>
  <si>
    <t>POL8806515</t>
  </si>
  <si>
    <t>tammy73@gmail.com</t>
  </si>
  <si>
    <t>+61 7 6176 8189</t>
  </si>
  <si>
    <t>Antonio Harris</t>
  </si>
  <si>
    <t>Adrienne Harris</t>
  </si>
  <si>
    <t>POL9143348</t>
  </si>
  <si>
    <t>slynch@yahoo.com.au</t>
  </si>
  <si>
    <t>03-3215-2095</t>
  </si>
  <si>
    <t>Michael Acevedo</t>
  </si>
  <si>
    <t>Joshua Randolph</t>
  </si>
  <si>
    <t>POL8556256</t>
  </si>
  <si>
    <t>patricialin@yahoo.com</t>
  </si>
  <si>
    <t>0461-971-581</t>
  </si>
  <si>
    <t>Sarah Miles</t>
  </si>
  <si>
    <t>Brandy Booth</t>
  </si>
  <si>
    <t>POL8802598</t>
  </si>
  <si>
    <t>sierra55@aguirre-stewart.biz</t>
  </si>
  <si>
    <t>Eric Rodriguez</t>
  </si>
  <si>
    <t>Alexander Obrien</t>
  </si>
  <si>
    <t>POL9199969</t>
  </si>
  <si>
    <t>paultaylor@hotmail.com</t>
  </si>
  <si>
    <t>Alan Morales</t>
  </si>
  <si>
    <t>Margaret Simpson</t>
  </si>
  <si>
    <t>POL8314288</t>
  </si>
  <si>
    <t>paula21@barrett.edu.au</t>
  </si>
  <si>
    <t>Jonathan Ball</t>
  </si>
  <si>
    <t>Louis Newton</t>
  </si>
  <si>
    <t>POL5799770</t>
  </si>
  <si>
    <t>ricecynthia@jackson.edu</t>
  </si>
  <si>
    <t>0409 674 782</t>
  </si>
  <si>
    <t>Raymond Friedman III</t>
  </si>
  <si>
    <t>Susan Jones</t>
  </si>
  <si>
    <t>POL9675881</t>
  </si>
  <si>
    <t>jamesleach@yahoo.com</t>
  </si>
  <si>
    <t>Jeffrey Oliver</t>
  </si>
  <si>
    <t>Chad Smith</t>
  </si>
  <si>
    <t>POL1646984</t>
  </si>
  <si>
    <t>johnmercer@petty.com</t>
  </si>
  <si>
    <t>0450-146-287</t>
  </si>
  <si>
    <t>Kathleen Wong</t>
  </si>
  <si>
    <t>Daniel Holt</t>
  </si>
  <si>
    <t>POL6404690</t>
  </si>
  <si>
    <t>christy08@smith-hicks.edu</t>
  </si>
  <si>
    <t>+61.408.145.457</t>
  </si>
  <si>
    <t>Gregory Bennett</t>
  </si>
  <si>
    <t>Michelle Navarro</t>
  </si>
  <si>
    <t>POL7647403</t>
  </si>
  <si>
    <t>jacobponce@hotmail.com.au</t>
  </si>
  <si>
    <t>(07) 7281 8598</t>
  </si>
  <si>
    <t>Pamela Johnson</t>
  </si>
  <si>
    <t>Ralph Jefferson</t>
  </si>
  <si>
    <t>POL5247213</t>
  </si>
  <si>
    <t>natasha13@gmail.com</t>
  </si>
  <si>
    <t>(08).6572.4659</t>
  </si>
  <si>
    <t>Andrew Mckee</t>
  </si>
  <si>
    <t>Randall Collins</t>
  </si>
  <si>
    <t>POL5859108</t>
  </si>
  <si>
    <t>bedwards@hotmail.com.au</t>
  </si>
  <si>
    <t>Jeffrey Thompson</t>
  </si>
  <si>
    <t>Jeffrey Kane</t>
  </si>
  <si>
    <t>POL6335546</t>
  </si>
  <si>
    <t>dunlapchristian@gmail.com</t>
  </si>
  <si>
    <t>07-1559-0550</t>
  </si>
  <si>
    <t>Tonya Hill</t>
  </si>
  <si>
    <t>Keith Fleming</t>
  </si>
  <si>
    <t>POL2389656</t>
  </si>
  <si>
    <t>luke69@hotmail.com.au</t>
  </si>
  <si>
    <t>0487 149 585</t>
  </si>
  <si>
    <t>Daniel Marquez</t>
  </si>
  <si>
    <t>Christopher Hamilton</t>
  </si>
  <si>
    <t>POL6827176</t>
  </si>
  <si>
    <t>ijohnson@yahoo.com</t>
  </si>
  <si>
    <t>7213-8193</t>
  </si>
  <si>
    <t>Tanya Arellano</t>
  </si>
  <si>
    <t>Raymond Perez</t>
  </si>
  <si>
    <t>POL1450312</t>
  </si>
  <si>
    <t>mraymond@hartman.biz</t>
  </si>
  <si>
    <t>+61.3.9953.9602</t>
  </si>
  <si>
    <t>Craig Olson</t>
  </si>
  <si>
    <t>Lori Martinez</t>
  </si>
  <si>
    <t>POL9446895</t>
  </si>
  <si>
    <t>monica72@gmail.com</t>
  </si>
  <si>
    <t>(02)07137388</t>
  </si>
  <si>
    <t>Lisa Jones</t>
  </si>
  <si>
    <t>Leslie Armstrong</t>
  </si>
  <si>
    <t>POL4900854</t>
  </si>
  <si>
    <t>warddaniel@garcia.org.au</t>
  </si>
  <si>
    <t>02 2567 9405</t>
  </si>
  <si>
    <t>Jamie Blair</t>
  </si>
  <si>
    <t>Emma Smith</t>
  </si>
  <si>
    <t>POL9573535</t>
  </si>
  <si>
    <t>lauren60@yahoo.com</t>
  </si>
  <si>
    <t>Donald Cross</t>
  </si>
  <si>
    <t>Michael Lee</t>
  </si>
  <si>
    <t>POL4881008</t>
  </si>
  <si>
    <t>amybrown@hotmail.com</t>
  </si>
  <si>
    <t>0254-1929</t>
  </si>
  <si>
    <t>Omar Young</t>
  </si>
  <si>
    <t>Brianna Burgess</t>
  </si>
  <si>
    <t>POL9815299</t>
  </si>
  <si>
    <t>jacobsmith@gmail.com</t>
  </si>
  <si>
    <t>+61.420.357.126</t>
  </si>
  <si>
    <t>Robert Holmes</t>
  </si>
  <si>
    <t>Deanna Pham</t>
  </si>
  <si>
    <t>POL5581881</t>
  </si>
  <si>
    <t>larrybarnett@gmail.com</t>
  </si>
  <si>
    <t>(07) 3841 7824</t>
  </si>
  <si>
    <t>Troy Knight</t>
  </si>
  <si>
    <t>John Monroe</t>
  </si>
  <si>
    <t>POL2857948</t>
  </si>
  <si>
    <t>tammymcfarland@hotmail.com.au</t>
  </si>
  <si>
    <t>Dennis Ward</t>
  </si>
  <si>
    <t>Christine Smith</t>
  </si>
  <si>
    <t>POL5786015</t>
  </si>
  <si>
    <t>kparker@short-brown.edu.au</t>
  </si>
  <si>
    <t>5991 5615</t>
  </si>
  <si>
    <t>Gerald Garza</t>
  </si>
  <si>
    <t>Emma Parker</t>
  </si>
  <si>
    <t>POL6683557</t>
  </si>
  <si>
    <t>princekristin@martin.net.au</t>
  </si>
  <si>
    <t>+61 418 717 225</t>
  </si>
  <si>
    <t>Amanda Clarke</t>
  </si>
  <si>
    <t>Kelly Turner</t>
  </si>
  <si>
    <t>POL6302820</t>
  </si>
  <si>
    <t>jerry84@hotmail.com</t>
  </si>
  <si>
    <t>Andrew Best</t>
  </si>
  <si>
    <t>Alicia Harrell</t>
  </si>
  <si>
    <t>POL6475916</t>
  </si>
  <si>
    <t>tracy22@gmail.com</t>
  </si>
  <si>
    <t>0427 306 281</t>
  </si>
  <si>
    <t>Debra Thomas</t>
  </si>
  <si>
    <t>Scott Thomas</t>
  </si>
  <si>
    <t>POL5684982</t>
  </si>
  <si>
    <t>cruzrichard@osborne-bailey.org</t>
  </si>
  <si>
    <t>Rebecca Ayers</t>
  </si>
  <si>
    <t>Lynn Lawrence</t>
  </si>
  <si>
    <t>POL3565329</t>
  </si>
  <si>
    <t>daniel98@mendez-cooper.biz</t>
  </si>
  <si>
    <t>Juan Hanson</t>
  </si>
  <si>
    <t>Heidi Meyer</t>
  </si>
  <si>
    <t>POL4360325</t>
  </si>
  <si>
    <t>jennifer48@hotmail.com.au</t>
  </si>
  <si>
    <t>(03)-5071-1595</t>
  </si>
  <si>
    <t>Paul Carter</t>
  </si>
  <si>
    <t>Jeffrey Stewart</t>
  </si>
  <si>
    <t>POL2576780</t>
  </si>
  <si>
    <t>mnewman@martin.org</t>
  </si>
  <si>
    <t>Samantha Shepherd</t>
  </si>
  <si>
    <t>Frederick Whitney</t>
  </si>
  <si>
    <t>POL4695051</t>
  </si>
  <si>
    <t>smeyer@johnson-anderson.com.au</t>
  </si>
  <si>
    <t>+61.483.133.686</t>
  </si>
  <si>
    <t>Gabriel Juarez</t>
  </si>
  <si>
    <t>Margaret Lee</t>
  </si>
  <si>
    <t>POL6089615</t>
  </si>
  <si>
    <t>ofoster@hotmail.com</t>
  </si>
  <si>
    <t>08.9409.9237</t>
  </si>
  <si>
    <t>Zachary Robinson</t>
  </si>
  <si>
    <t>Diane Rivera</t>
  </si>
  <si>
    <t>POL8674269</t>
  </si>
  <si>
    <t>jeffreymartin@hotmail.com.au</t>
  </si>
  <si>
    <t>+61 481 521 988</t>
  </si>
  <si>
    <t>Lisa Adams</t>
  </si>
  <si>
    <t>Lindsay Vasquez</t>
  </si>
  <si>
    <t>POL9735184</t>
  </si>
  <si>
    <t>padillakeith@hotmail.com</t>
  </si>
  <si>
    <t>0453.206.871</t>
  </si>
  <si>
    <t>Amy Green</t>
  </si>
  <si>
    <t>Kenneth Carroll</t>
  </si>
  <si>
    <t>POL1800443</t>
  </si>
  <si>
    <t>ashley17@carpenter-lopez.net.au</t>
  </si>
  <si>
    <t>(03) 3613 3912</t>
  </si>
  <si>
    <t>William Mathis</t>
  </si>
  <si>
    <t>Steven Serrano</t>
  </si>
  <si>
    <t>POL8847246</t>
  </si>
  <si>
    <t>kristen32@gmail.com</t>
  </si>
  <si>
    <t>(02)78039463</t>
  </si>
  <si>
    <t>David Callahan</t>
  </si>
  <si>
    <t>Julie Rogers</t>
  </si>
  <si>
    <t>POL5166276</t>
  </si>
  <si>
    <t>frankgonzalez@patel-willis.net</t>
  </si>
  <si>
    <t>08.4762.8218</t>
  </si>
  <si>
    <t>Deborah Chaney</t>
  </si>
  <si>
    <t>Tammy Archer</t>
  </si>
  <si>
    <t>POL6924063</t>
  </si>
  <si>
    <t>ryan38@clark.edu.au</t>
  </si>
  <si>
    <t>+61.423.241.181</t>
  </si>
  <si>
    <t>Theodore Lang</t>
  </si>
  <si>
    <t>William Blanchard</t>
  </si>
  <si>
    <t>POL4899728</t>
  </si>
  <si>
    <t>rwest@yahoo.com.au</t>
  </si>
  <si>
    <t>+61 3 5766 0972</t>
  </si>
  <si>
    <t>Wesley Moran</t>
  </si>
  <si>
    <t>Leonard Gentry</t>
  </si>
  <si>
    <t>POL1035425</t>
  </si>
  <si>
    <t>kristin00@yahoo.com</t>
  </si>
  <si>
    <t>0489.782.864</t>
  </si>
  <si>
    <t>Lisa Patterson</t>
  </si>
  <si>
    <t>Emma Payne</t>
  </si>
  <si>
    <t>POL8533999</t>
  </si>
  <si>
    <t>ykeller@yahoo.com.au</t>
  </si>
  <si>
    <t>08.5034.8783</t>
  </si>
  <si>
    <t>Laurie Davis</t>
  </si>
  <si>
    <t>Joshua Baker</t>
  </si>
  <si>
    <t>POL2517874</t>
  </si>
  <si>
    <t>smiththomas@kirby.info</t>
  </si>
  <si>
    <t>7783-7668</t>
  </si>
  <si>
    <t>Ryan Jackson</t>
  </si>
  <si>
    <t>Rebecca Rivera</t>
  </si>
  <si>
    <t>POL3328481</t>
  </si>
  <si>
    <t>brianrichmond@burton-wilson.org</t>
  </si>
  <si>
    <t>8348 9887</t>
  </si>
  <si>
    <t>Jessica Page</t>
  </si>
  <si>
    <t>Rodney Thomas</t>
  </si>
  <si>
    <t>POL4531605</t>
  </si>
  <si>
    <t>martinmoss@yahoo.com</t>
  </si>
  <si>
    <t>Stephen Li</t>
  </si>
  <si>
    <t>Gary Hernandez</t>
  </si>
  <si>
    <t>POL3830668</t>
  </si>
  <si>
    <t>sreed@hotmail.com</t>
  </si>
  <si>
    <t>(07).9371.3932</t>
  </si>
  <si>
    <t>Stephen Marshall</t>
  </si>
  <si>
    <t>David Barnes</t>
  </si>
  <si>
    <t>POL2568521</t>
  </si>
  <si>
    <t>adambrown@yahoo.com</t>
  </si>
  <si>
    <t>+61.8.9875.0821</t>
  </si>
  <si>
    <t>Jessica Jones</t>
  </si>
  <si>
    <t>Michelle Taylor</t>
  </si>
  <si>
    <t>POL7398127</t>
  </si>
  <si>
    <t>philip63@smith-castro.edu.au</t>
  </si>
  <si>
    <t>+61 477 374 302</t>
  </si>
  <si>
    <t>Dr. Katelyn Smith DDS</t>
  </si>
  <si>
    <t>Melvin Clark</t>
  </si>
  <si>
    <t>POL3449445</t>
  </si>
  <si>
    <t>nli@sullivan-brown.net.au</t>
  </si>
  <si>
    <t>Nicole Jenkins</t>
  </si>
  <si>
    <t>Nicole Carr</t>
  </si>
  <si>
    <t>POL2923285</t>
  </si>
  <si>
    <t>ashley16@obrien-smith.org</t>
  </si>
  <si>
    <t>+61 413 137 111</t>
  </si>
  <si>
    <t>David Graham</t>
  </si>
  <si>
    <t>Tom Mathews</t>
  </si>
  <si>
    <t>POL1516198</t>
  </si>
  <si>
    <t>johningram@taylor.com.au</t>
  </si>
  <si>
    <t>02.0575.9355</t>
  </si>
  <si>
    <t>Martin Holder</t>
  </si>
  <si>
    <t>Ashley Walsh</t>
  </si>
  <si>
    <t>POL9511737</t>
  </si>
  <si>
    <t>cruzlaura@huff.edu.au</t>
  </si>
  <si>
    <t>Jay Mack</t>
  </si>
  <si>
    <t>Michael Wilson</t>
  </si>
  <si>
    <t>POL1011089</t>
  </si>
  <si>
    <t>wilsonpatricia@hill.org.au</t>
  </si>
  <si>
    <t>(07) 0833 9026</t>
  </si>
  <si>
    <t>Alexander Baldwin</t>
  </si>
  <si>
    <t>Randy Le</t>
  </si>
  <si>
    <t>POL5952512</t>
  </si>
  <si>
    <t>kimberly14@payne.biz</t>
  </si>
  <si>
    <t>(02) 5418 2666</t>
  </si>
  <si>
    <t>Jessica Burton</t>
  </si>
  <si>
    <t>Gary Whitehead</t>
  </si>
  <si>
    <t>POL8445993</t>
  </si>
  <si>
    <t>tscott@yahoo.com</t>
  </si>
  <si>
    <t>0469.142.056</t>
  </si>
  <si>
    <t>Emily James</t>
  </si>
  <si>
    <t>Daniel Evans</t>
  </si>
  <si>
    <t>POL6786022</t>
  </si>
  <si>
    <t>maxwellandrea@solomon.com.au</t>
  </si>
  <si>
    <t>+61 492 895 387</t>
  </si>
  <si>
    <t>Javier Horne</t>
  </si>
  <si>
    <t>Tina Sullivan</t>
  </si>
  <si>
    <t>POL6330356</t>
  </si>
  <si>
    <t>catherine27@hotmail.com.au</t>
  </si>
  <si>
    <t>(03)09937997</t>
  </si>
  <si>
    <t>Dr. Joseph Mckee</t>
  </si>
  <si>
    <t>Jessica Murphy</t>
  </si>
  <si>
    <t>POL2071900</t>
  </si>
  <si>
    <t>fhill@johnson-young.biz</t>
  </si>
  <si>
    <t>0459-709-312</t>
  </si>
  <si>
    <t>Charles Estrada</t>
  </si>
  <si>
    <t>Bridget Fitzpatrick</t>
  </si>
  <si>
    <t>POL6395775</t>
  </si>
  <si>
    <t>ryanoconnor@crawford.net.au</t>
  </si>
  <si>
    <t>Daniel Harrell</t>
  </si>
  <si>
    <t>Tyler Taylor</t>
  </si>
  <si>
    <t>POL3588478</t>
  </si>
  <si>
    <t>melissa71@hotmail.com.au</t>
  </si>
  <si>
    <t>John Fields</t>
  </si>
  <si>
    <t>Glenda Jackson</t>
  </si>
  <si>
    <t>POL6168875</t>
  </si>
  <si>
    <t>tylerevans@hotmail.com</t>
  </si>
  <si>
    <t>(02)-0272-1917</t>
  </si>
  <si>
    <t>Eric Alvarez</t>
  </si>
  <si>
    <t>James Cruz</t>
  </si>
  <si>
    <t>POL6090519</t>
  </si>
  <si>
    <t>ellisalicia@gmail.com</t>
  </si>
  <si>
    <t>08 3610 4939</t>
  </si>
  <si>
    <t>Dylan Reyes</t>
  </si>
  <si>
    <t>Linda Fisher</t>
  </si>
  <si>
    <t>POL9705901</t>
  </si>
  <si>
    <t>nicholasknight@yahoo.com.au</t>
  </si>
  <si>
    <t>Jessica Hudson</t>
  </si>
  <si>
    <t>Daniel Frank</t>
  </si>
  <si>
    <t>POL7073359</t>
  </si>
  <si>
    <t>harveydaniel@anderson.net</t>
  </si>
  <si>
    <t>1263-6507</t>
  </si>
  <si>
    <t>Stephen Edwards</t>
  </si>
  <si>
    <t>John Montgomery</t>
  </si>
  <si>
    <t>POL4440756</t>
  </si>
  <si>
    <t>oriley@yahoo.com.au</t>
  </si>
  <si>
    <t>0471.790.517</t>
  </si>
  <si>
    <t>Cindy Lee</t>
  </si>
  <si>
    <t>Michele Ray</t>
  </si>
  <si>
    <t>POL4695675</t>
  </si>
  <si>
    <t>alawson@gmail.com</t>
  </si>
  <si>
    <t>(07) 1096 0592</t>
  </si>
  <si>
    <t>Tracy Rogers</t>
  </si>
  <si>
    <t>Anne Fisher</t>
  </si>
  <si>
    <t>POL6683252</t>
  </si>
  <si>
    <t>marc12@johnston-ayers.com.au</t>
  </si>
  <si>
    <t>8487 5799</t>
  </si>
  <si>
    <t>Melissa Webb</t>
  </si>
  <si>
    <t>Nancy Rodriguez</t>
  </si>
  <si>
    <t>POL8836317</t>
  </si>
  <si>
    <t>matthewsdustin@hotmail.com.au</t>
  </si>
  <si>
    <t>+61.474.064.548</t>
  </si>
  <si>
    <t>Brittany Cunningham</t>
  </si>
  <si>
    <t>Leroy Johnson</t>
  </si>
  <si>
    <t>POL5411572</t>
  </si>
  <si>
    <t>christinarobles@hotmail.com</t>
  </si>
  <si>
    <t>0404-369-705</t>
  </si>
  <si>
    <t>Ryan Shah</t>
  </si>
  <si>
    <t>Tiffany Mcclure</t>
  </si>
  <si>
    <t>POL7590752</t>
  </si>
  <si>
    <t>josephharris@hotmail.com.au</t>
  </si>
  <si>
    <t>8058 9024</t>
  </si>
  <si>
    <t>Samantha Moreno</t>
  </si>
  <si>
    <t>Christina Hamilton</t>
  </si>
  <si>
    <t>POL8809512</t>
  </si>
  <si>
    <t>wilsonmichelle@romero.net.au</t>
  </si>
  <si>
    <t>(08)37837079</t>
  </si>
  <si>
    <t>Destiny Abbott</t>
  </si>
  <si>
    <t>James Gallagher</t>
  </si>
  <si>
    <t>POL2489190</t>
  </si>
  <si>
    <t>iwarren@miller.info</t>
  </si>
  <si>
    <t>08-6800-5109</t>
  </si>
  <si>
    <t>Shannon Murray</t>
  </si>
  <si>
    <t>Gary Wagner</t>
  </si>
  <si>
    <t>POL8118097</t>
  </si>
  <si>
    <t>kimberly58@yahoo.com.au</t>
  </si>
  <si>
    <t>(03)-9705-8119</t>
  </si>
  <si>
    <t>Robert Jones</t>
  </si>
  <si>
    <t>Robert Porter</t>
  </si>
  <si>
    <t>POL9063849</t>
  </si>
  <si>
    <t>rpace@yahoo.com</t>
  </si>
  <si>
    <t>+61.7.7800.0373</t>
  </si>
  <si>
    <t>Marc Mckee</t>
  </si>
  <si>
    <t>John Harris</t>
  </si>
  <si>
    <t>POL6483615</t>
  </si>
  <si>
    <t>riosjohn@yahoo.com</t>
  </si>
  <si>
    <t>0473 557 988</t>
  </si>
  <si>
    <t>Colleen Lowe</t>
  </si>
  <si>
    <t>Jose Holloway</t>
  </si>
  <si>
    <t>POL6946588</t>
  </si>
  <si>
    <t>pateltaylor@reed.org</t>
  </si>
  <si>
    <t>Brian Hernandez</t>
  </si>
  <si>
    <t>Kevin Roberts</t>
  </si>
  <si>
    <t>POL8819294</t>
  </si>
  <si>
    <t>trantammy@hotmail.com</t>
  </si>
  <si>
    <t>Michael Beck</t>
  </si>
  <si>
    <t>POL9655291</t>
  </si>
  <si>
    <t>adrian53@hotmail.com</t>
  </si>
  <si>
    <t>Douglas Carpenter</t>
  </si>
  <si>
    <t>Randall Byrd</t>
  </si>
  <si>
    <t>POL8926516</t>
  </si>
  <si>
    <t>jacksonlinda@yahoo.com</t>
  </si>
  <si>
    <t>+61 3 9413 9664</t>
  </si>
  <si>
    <t>Justin Rowe</t>
  </si>
  <si>
    <t>Virginia King</t>
  </si>
  <si>
    <t>POL1905094</t>
  </si>
  <si>
    <t>jessica47@carr-sellers.biz</t>
  </si>
  <si>
    <t>08 2373 7840</t>
  </si>
  <si>
    <t>Brian Hall</t>
  </si>
  <si>
    <t>Phillip Bullock</t>
  </si>
  <si>
    <t>POL3983391</t>
  </si>
  <si>
    <t>hurleyrichard@holt.info</t>
  </si>
  <si>
    <t>(03).6109.8947</t>
  </si>
  <si>
    <t>Joseph Wells</t>
  </si>
  <si>
    <t>Howard Smith</t>
  </si>
  <si>
    <t>POL9034750</t>
  </si>
  <si>
    <t>xjohnson@cross-wheeler.biz</t>
  </si>
  <si>
    <t>Jennifer Smith</t>
  </si>
  <si>
    <t>Alyssa Dorsey</t>
  </si>
  <si>
    <t>POL6475032</t>
  </si>
  <si>
    <t>iestes@baker.info</t>
  </si>
  <si>
    <t>+61.8.8549.6217</t>
  </si>
  <si>
    <t>Joseph Hurst</t>
  </si>
  <si>
    <t>Benjamin Brown</t>
  </si>
  <si>
    <t>POL6876131</t>
  </si>
  <si>
    <t>brian65@hotmail.com</t>
  </si>
  <si>
    <t>+61.7.2931.4077</t>
  </si>
  <si>
    <t>Christopher Carney</t>
  </si>
  <si>
    <t>Robert Smith</t>
  </si>
  <si>
    <t>POL2556013</t>
  </si>
  <si>
    <t>martinkevin@yahoo.com</t>
  </si>
  <si>
    <t>(08)94576177</t>
  </si>
  <si>
    <t>Melissa Cox</t>
  </si>
  <si>
    <t>Austin Mitchell</t>
  </si>
  <si>
    <t>POL8821546</t>
  </si>
  <si>
    <t>tamarabailey@hotmail.com</t>
  </si>
  <si>
    <t>0403.037.421</t>
  </si>
  <si>
    <t>Seth Acevedo</t>
  </si>
  <si>
    <t>Carolyn Boone</t>
  </si>
  <si>
    <t>POL8628383</t>
  </si>
  <si>
    <t>qhanna@adams.com</t>
  </si>
  <si>
    <t>0417-173-772</t>
  </si>
  <si>
    <t>Craig Robinson</t>
  </si>
  <si>
    <t>Craig Barnes</t>
  </si>
  <si>
    <t>POL7971009</t>
  </si>
  <si>
    <t>mario06@ortiz-melton.info</t>
  </si>
  <si>
    <t>+61 3 3176 6478</t>
  </si>
  <si>
    <t>Ashley Wood</t>
  </si>
  <si>
    <t>Brandy Peters</t>
  </si>
  <si>
    <t>POL1964717</t>
  </si>
  <si>
    <t>angelabird@yahoo.com.au</t>
  </si>
  <si>
    <t>Austin Stone</t>
  </si>
  <si>
    <t>Jeffrey Miller</t>
  </si>
  <si>
    <t>POL9500393</t>
  </si>
  <si>
    <t>bassjustin@martinez.com</t>
  </si>
  <si>
    <t>07.0201.8799</t>
  </si>
  <si>
    <t>Rachel Kelly</t>
  </si>
  <si>
    <t>Erik Johnson</t>
  </si>
  <si>
    <t>POL3877161</t>
  </si>
  <si>
    <t>stephensjessica@yahoo.com</t>
  </si>
  <si>
    <t>Shawn Santiago</t>
  </si>
  <si>
    <t>Stephen Allen</t>
  </si>
  <si>
    <t>POL7713333</t>
  </si>
  <si>
    <t>abigail86@butler-roberts.edu.au</t>
  </si>
  <si>
    <t>+61 470 220 679</t>
  </si>
  <si>
    <t>Kevin King</t>
  </si>
  <si>
    <t>Dale Schaefer</t>
  </si>
  <si>
    <t>POL5820656</t>
  </si>
  <si>
    <t>duffykimberly@walker.com.au</t>
  </si>
  <si>
    <t>+61 7 7455 0239</t>
  </si>
  <si>
    <t>Karina West</t>
  </si>
  <si>
    <t>Christine Riley</t>
  </si>
  <si>
    <t>POL9282925</t>
  </si>
  <si>
    <t>jacksonjulia@martinez-pollard.biz</t>
  </si>
  <si>
    <t>+61.3.4856.6191</t>
  </si>
  <si>
    <t>Timothy Green</t>
  </si>
  <si>
    <t>Karen Miller</t>
  </si>
  <si>
    <t>POL1951505</t>
  </si>
  <si>
    <t>lpreston@smith-green.org.au</t>
  </si>
  <si>
    <t>0402.598.215</t>
  </si>
  <si>
    <t>Nicole Davis</t>
  </si>
  <si>
    <t>Felicia White</t>
  </si>
  <si>
    <t>POL9326864</t>
  </si>
  <si>
    <t>sherrybell@yang-patel.biz</t>
  </si>
  <si>
    <t>Jacqueline Jennings</t>
  </si>
  <si>
    <t>Sean Rice</t>
  </si>
  <si>
    <t>POL4776957</t>
  </si>
  <si>
    <t>matthewrios@phillips-martin.net</t>
  </si>
  <si>
    <t>08-9494-2274</t>
  </si>
  <si>
    <t>Amanda Rodriguez</t>
  </si>
  <si>
    <t>Samantha Meyer</t>
  </si>
  <si>
    <t>POL7903697</t>
  </si>
  <si>
    <t>mark09@edwards.biz</t>
  </si>
  <si>
    <t>(03)58143952</t>
  </si>
  <si>
    <t>Kim Nelson</t>
  </si>
  <si>
    <t>Stephanie Wilson</t>
  </si>
  <si>
    <t>POL2486854</t>
  </si>
  <si>
    <t>hendersonandrew@mcdonald-madden.net.au</t>
  </si>
  <si>
    <t>Matthew Mann</t>
  </si>
  <si>
    <t>Deborah Soto</t>
  </si>
  <si>
    <t>POL4440945</t>
  </si>
  <si>
    <t>murphyemily@garcia-nguyen.info</t>
  </si>
  <si>
    <t>Jonathan Gray</t>
  </si>
  <si>
    <t>Charles Gallagher</t>
  </si>
  <si>
    <t>POL2575084</t>
  </si>
  <si>
    <t>iankeller@yahoo.com.au</t>
  </si>
  <si>
    <t>0470.951.797</t>
  </si>
  <si>
    <t>Steven Barrett</t>
  </si>
  <si>
    <t>Keith Cruz</t>
  </si>
  <si>
    <t>POL9904055</t>
  </si>
  <si>
    <t>christinefisher@gmail.com</t>
  </si>
  <si>
    <t>+61.476.818.680</t>
  </si>
  <si>
    <t>Tiffany Zimmerman</t>
  </si>
  <si>
    <t>Bethany Campbell</t>
  </si>
  <si>
    <t>POL5149714</t>
  </si>
  <si>
    <t>qmoran@rosales.edu.au</t>
  </si>
  <si>
    <t>Scott Floyd</t>
  </si>
  <si>
    <t>Mr. Tony Williams MD</t>
  </si>
  <si>
    <t>POL2012921</t>
  </si>
  <si>
    <t>greggruiz@white-garcia.org</t>
  </si>
  <si>
    <t>03 9590 2933</t>
  </si>
  <si>
    <t>James Bender</t>
  </si>
  <si>
    <t>Leslie Phillips</t>
  </si>
  <si>
    <t>POL2511266</t>
  </si>
  <si>
    <t>fernandezchristopher@smith-davis.net.au</t>
  </si>
  <si>
    <t>07.1236.5936</t>
  </si>
  <si>
    <t>Amber Burns</t>
  </si>
  <si>
    <t>Donald Padilla</t>
  </si>
  <si>
    <t>POL2850270</t>
  </si>
  <si>
    <t>kariwade@gmail.com</t>
  </si>
  <si>
    <t>+61 431 784 084</t>
  </si>
  <si>
    <t>Carla Cole</t>
  </si>
  <si>
    <t>Laura Wall</t>
  </si>
  <si>
    <t>POL2974365</t>
  </si>
  <si>
    <t>collinsjason@hotmail.com.au</t>
  </si>
  <si>
    <t>(07).2123.4668</t>
  </si>
  <si>
    <t>Benjamin Sullivan</t>
  </si>
  <si>
    <t>Jeffrey Taylor</t>
  </si>
  <si>
    <t>POL5163958</t>
  </si>
  <si>
    <t>pamela21@anderson.org.au</t>
  </si>
  <si>
    <t>Raymond Dominguez</t>
  </si>
  <si>
    <t>Charles Carrillo</t>
  </si>
  <si>
    <t>POL2289320</t>
  </si>
  <si>
    <t>davidwillis@barton.info</t>
  </si>
  <si>
    <t>07 1955 3030</t>
  </si>
  <si>
    <t>Bradley Johnson</t>
  </si>
  <si>
    <t>Kimberly Medina</t>
  </si>
  <si>
    <t>POL8652521</t>
  </si>
  <si>
    <t>evanwhite@weber-sanchez.org</t>
  </si>
  <si>
    <t>Tiffany Hunter</t>
  </si>
  <si>
    <t>Manuel Jones DVM</t>
  </si>
  <si>
    <t>POL3272426</t>
  </si>
  <si>
    <t>kathy74@hotmail.com</t>
  </si>
  <si>
    <t>(03).0174.0968</t>
  </si>
  <si>
    <t>John Baker</t>
  </si>
  <si>
    <t>William Clark</t>
  </si>
  <si>
    <t>POL3324951</t>
  </si>
  <si>
    <t>graynicole@cole.biz</t>
  </si>
  <si>
    <t>4283-3895</t>
  </si>
  <si>
    <t>Laurie Griffin</t>
  </si>
  <si>
    <t>Natalie Duncan</t>
  </si>
  <si>
    <t>POL3221497</t>
  </si>
  <si>
    <t>waynekent@hotmail.com.au</t>
  </si>
  <si>
    <t>(02).5276.3477</t>
  </si>
  <si>
    <t>Laura Ward</t>
  </si>
  <si>
    <t>Michael Smith</t>
  </si>
  <si>
    <t>POL4351225</t>
  </si>
  <si>
    <t>rharrison@baker.biz</t>
  </si>
  <si>
    <t>+61 486 077 319</t>
  </si>
  <si>
    <t>Melvin Callahan Jr.</t>
  </si>
  <si>
    <t>Scott Burns</t>
  </si>
  <si>
    <t>POL3367601</t>
  </si>
  <si>
    <t>danielleramirez@yahoo.com</t>
  </si>
  <si>
    <t>02.9081.4736</t>
  </si>
  <si>
    <t>Haley Luna</t>
  </si>
  <si>
    <t>Brandon Jones</t>
  </si>
  <si>
    <t>POL5754137</t>
  </si>
  <si>
    <t>kristinrowe@yahoo.com</t>
  </si>
  <si>
    <t>+61 440 170 582</t>
  </si>
  <si>
    <t>Gregory Cisneros</t>
  </si>
  <si>
    <t>Kayla Lopez</t>
  </si>
  <si>
    <t>POL2671806</t>
  </si>
  <si>
    <t>karenbailey@yahoo.com</t>
  </si>
  <si>
    <t>+61 458 372 882</t>
  </si>
  <si>
    <t>Marcia Rodriguez</t>
  </si>
  <si>
    <t>Michael Torres</t>
  </si>
  <si>
    <t>POL7208233</t>
  </si>
  <si>
    <t>lauren52@hotmail.com.au</t>
  </si>
  <si>
    <t>Dawn Williams MD</t>
  </si>
  <si>
    <t>James Hays</t>
  </si>
  <si>
    <t>POL5870883</t>
  </si>
  <si>
    <t>daniel44@yahoo.com</t>
  </si>
  <si>
    <t>8375-2507</t>
  </si>
  <si>
    <t>Ashley Howe</t>
  </si>
  <si>
    <t>Kelly Moore</t>
  </si>
  <si>
    <t>POL8694850</t>
  </si>
  <si>
    <t>zgraves@brown.org.au</t>
  </si>
  <si>
    <t>(03) 2375 9731</t>
  </si>
  <si>
    <t>Cole Morgan</t>
  </si>
  <si>
    <t>Nathan Morales</t>
  </si>
  <si>
    <t>POL3836535</t>
  </si>
  <si>
    <t>angelicacurry@holland.net</t>
  </si>
  <si>
    <t>0490.712.509</t>
  </si>
  <si>
    <t>Nicholas Barker</t>
  </si>
  <si>
    <t>John Jones</t>
  </si>
  <si>
    <t>POL4361508</t>
  </si>
  <si>
    <t>krystalanthony@gmail.com</t>
  </si>
  <si>
    <t>Wendy Tucker</t>
  </si>
  <si>
    <t>Kristin Adams</t>
  </si>
  <si>
    <t>POL9440334</t>
  </si>
  <si>
    <t>evansallen@hotmail.com</t>
  </si>
  <si>
    <t>(03)-5143-2200</t>
  </si>
  <si>
    <t>Toni Baker</t>
  </si>
  <si>
    <t>Andrew Harris</t>
  </si>
  <si>
    <t>POL2772497</t>
  </si>
  <si>
    <t>greenemichael@bowen.biz</t>
  </si>
  <si>
    <t>03-4302-0774</t>
  </si>
  <si>
    <t>Amy Butler</t>
  </si>
  <si>
    <t>Dr. Monique Carson</t>
  </si>
  <si>
    <t>POL5530160</t>
  </si>
  <si>
    <t>mooremichael@stewart.info</t>
  </si>
  <si>
    <t>0485 119 436</t>
  </si>
  <si>
    <t>Melissa Maddox</t>
  </si>
  <si>
    <t>Jessica Green</t>
  </si>
  <si>
    <t>POL4346745</t>
  </si>
  <si>
    <t>ismith@gmail.com</t>
  </si>
  <si>
    <t>+61 487 539 047</t>
  </si>
  <si>
    <t>Kimberly Schmidt</t>
  </si>
  <si>
    <t>Stephen Smith</t>
  </si>
  <si>
    <t>POL3478124</t>
  </si>
  <si>
    <t>jensenrobert@schultz.biz</t>
  </si>
  <si>
    <t>(08)-7255-5352</t>
  </si>
  <si>
    <t>Earl Green</t>
  </si>
  <si>
    <t>Michael Mooney</t>
  </si>
  <si>
    <t>POL5501541</t>
  </si>
  <si>
    <t>darrenthompson@hotmail.com</t>
  </si>
  <si>
    <t>Jennifer Miller</t>
  </si>
  <si>
    <t>Kenneth Berry</t>
  </si>
  <si>
    <t>POL7794941</t>
  </si>
  <si>
    <t>pauljackson@carr.org</t>
  </si>
  <si>
    <t>(08) 5356 8333</t>
  </si>
  <si>
    <t>Pamela Cruz</t>
  </si>
  <si>
    <t>Angela Booker</t>
  </si>
  <si>
    <t>POL7337145</t>
  </si>
  <si>
    <t>johnbrown@foley-neal.org</t>
  </si>
  <si>
    <t>+61 445 164 371</t>
  </si>
  <si>
    <t>Chelsea Lam</t>
  </si>
  <si>
    <t>William Johnson</t>
  </si>
  <si>
    <t>POL8893435</t>
  </si>
  <si>
    <t>nholt@morse-butler.org</t>
  </si>
  <si>
    <t>0484-013-194</t>
  </si>
  <si>
    <t>Micheal Williams</t>
  </si>
  <si>
    <t>Abigail Moore</t>
  </si>
  <si>
    <t>POL8217786</t>
  </si>
  <si>
    <t>diamondjohnson@yahoo.com</t>
  </si>
  <si>
    <t>0457 168 094</t>
  </si>
  <si>
    <t>Jennifer King</t>
  </si>
  <si>
    <t>Reginald Cook</t>
  </si>
  <si>
    <t>POL7425934</t>
  </si>
  <si>
    <t>laurensavage@jackson.edu</t>
  </si>
  <si>
    <t>+61 429 214 441</t>
  </si>
  <si>
    <t>Christopher Moore</t>
  </si>
  <si>
    <t>Dennis Hopkins</t>
  </si>
  <si>
    <t>POL2772243</t>
  </si>
  <si>
    <t>xlewis@hernandez.com</t>
  </si>
  <si>
    <t>(03)30609861</t>
  </si>
  <si>
    <t>James Taylor MD</t>
  </si>
  <si>
    <t>Aaron Dominguez</t>
  </si>
  <si>
    <t>POL5229915</t>
  </si>
  <si>
    <t>sloanjustin@kelly.edu</t>
  </si>
  <si>
    <t>0416-009-566</t>
  </si>
  <si>
    <t>Robert Wallace</t>
  </si>
  <si>
    <t>Larry Smith</t>
  </si>
  <si>
    <t>POL5239078</t>
  </si>
  <si>
    <t>gregory46@blake-marshall.net</t>
  </si>
  <si>
    <t>08-1126-0582</t>
  </si>
  <si>
    <t>Eileen Small</t>
  </si>
  <si>
    <t>Howard Miller</t>
  </si>
  <si>
    <t>POL5494382</t>
  </si>
  <si>
    <t>jessica17@greer.info</t>
  </si>
  <si>
    <t>07.6383.8058</t>
  </si>
  <si>
    <t>Tamara Rivera</t>
  </si>
  <si>
    <t>John Mccann</t>
  </si>
  <si>
    <t>POL1001900</t>
  </si>
  <si>
    <t>lopezsara@smith.biz</t>
  </si>
  <si>
    <t>+61.402.579.199</t>
  </si>
  <si>
    <t>Carrie Mccarthy</t>
  </si>
  <si>
    <t>Dr. Brian Smith MD</t>
  </si>
  <si>
    <t>POL6478570</t>
  </si>
  <si>
    <t>fware@martinez.edu</t>
  </si>
  <si>
    <t>02 8344 4888</t>
  </si>
  <si>
    <t>Ann Johnson</t>
  </si>
  <si>
    <t>Jennifer Benson</t>
  </si>
  <si>
    <t>POL3554984</t>
  </si>
  <si>
    <t>krodriguez@hotmail.com</t>
  </si>
  <si>
    <t>Nichole Silva</t>
  </si>
  <si>
    <t>Amber Cervantes</t>
  </si>
  <si>
    <t>POL2870790</t>
  </si>
  <si>
    <t>rebecca56@yahoo.com</t>
  </si>
  <si>
    <t>0494-403-711</t>
  </si>
  <si>
    <t>Melissa Briggs</t>
  </si>
  <si>
    <t>Anthony Livingston</t>
  </si>
  <si>
    <t>POL5530584</t>
  </si>
  <si>
    <t>cherylcastro@gmail.com</t>
  </si>
  <si>
    <t>0429 277 245</t>
  </si>
  <si>
    <t>William Walton</t>
  </si>
  <si>
    <t>Wendy Hernandez</t>
  </si>
  <si>
    <t>POL6978249</t>
  </si>
  <si>
    <t>jasonlamb@casey-gillespie.edu.au</t>
  </si>
  <si>
    <t>Timothy Riddle</t>
  </si>
  <si>
    <t>Angela Harvey</t>
  </si>
  <si>
    <t>POL9380036</t>
  </si>
  <si>
    <t>yscott@rangel-hall.info</t>
  </si>
  <si>
    <t>+61.498.506.247</t>
  </si>
  <si>
    <t>Angel Irwin</t>
  </si>
  <si>
    <t>Tina Ali</t>
  </si>
  <si>
    <t>POL3191320</t>
  </si>
  <si>
    <t>andrecollins@yahoo.com</t>
  </si>
  <si>
    <t>Erin Morse</t>
  </si>
  <si>
    <t>Rachel Riley</t>
  </si>
  <si>
    <t>POL8584512</t>
  </si>
  <si>
    <t>krameramber@gmail.com</t>
  </si>
  <si>
    <t>Yvonne Hernandez</t>
  </si>
  <si>
    <t>Jessica Smith</t>
  </si>
  <si>
    <t>POL9440575</t>
  </si>
  <si>
    <t>johnsontracy@saunders-butler.org.au</t>
  </si>
  <si>
    <t>+61.7.3933.2153</t>
  </si>
  <si>
    <t>Rhonda Jenkins</t>
  </si>
  <si>
    <t>Julia George</t>
  </si>
  <si>
    <t>POL4430106</t>
  </si>
  <si>
    <t>danamurphy@romero.edu</t>
  </si>
  <si>
    <t>03 0806 5576</t>
  </si>
  <si>
    <t>Kayla Thompson</t>
  </si>
  <si>
    <t>Kimberly Barnes</t>
  </si>
  <si>
    <t>POL3470619</t>
  </si>
  <si>
    <t>sylvia71@yahoo.com</t>
  </si>
  <si>
    <t>0487-734-485</t>
  </si>
  <si>
    <t>Tiffany Gonzalez</t>
  </si>
  <si>
    <t>Heather Hernandez</t>
  </si>
  <si>
    <t>POL5177861</t>
  </si>
  <si>
    <t>mitchelljohn@hotmail.com.au</t>
  </si>
  <si>
    <t>Marissa Haynes</t>
  </si>
  <si>
    <t>Sarah Tucker</t>
  </si>
  <si>
    <t>POL5832590</t>
  </si>
  <si>
    <t>mvillegas@green.net</t>
  </si>
  <si>
    <t>+61.7.1439.0945</t>
  </si>
  <si>
    <t>Daniel James</t>
  </si>
  <si>
    <t>Jordan Robinson</t>
  </si>
  <si>
    <t>POL6377214</t>
  </si>
  <si>
    <t>roseheather@shaw-ramirez.com.au</t>
  </si>
  <si>
    <t>Melissa Torres</t>
  </si>
  <si>
    <t>Stephen Mitchell</t>
  </si>
  <si>
    <t>POL1868400</t>
  </si>
  <si>
    <t>ghernandez@hotmail.com</t>
  </si>
  <si>
    <t>+61 404 828 884</t>
  </si>
  <si>
    <t>Michelle Gould</t>
  </si>
  <si>
    <t>Patrick Gonzalez</t>
  </si>
  <si>
    <t>POL9420922</t>
  </si>
  <si>
    <t>barneserica@andrews.edu</t>
  </si>
  <si>
    <t>(07)11901134</t>
  </si>
  <si>
    <t>Christina Lawson</t>
  </si>
  <si>
    <t>Regina Nelson</t>
  </si>
  <si>
    <t>POL8273023</t>
  </si>
  <si>
    <t>alandry@hotmail.com.au</t>
  </si>
  <si>
    <t>0489 114 266</t>
  </si>
  <si>
    <t>Jonathan Miller</t>
  </si>
  <si>
    <t>Brandon King</t>
  </si>
  <si>
    <t>POL2552860</t>
  </si>
  <si>
    <t>erincarter@boone.com</t>
  </si>
  <si>
    <t>07-7802-4020</t>
  </si>
  <si>
    <t>Regina Snyder</t>
  </si>
  <si>
    <t>Deborah Lane</t>
  </si>
  <si>
    <t>POL3618832</t>
  </si>
  <si>
    <t>jonesnancy@hotmail.com.au</t>
  </si>
  <si>
    <t>+61 456 256 860</t>
  </si>
  <si>
    <t>Jennifer Wilkinson</t>
  </si>
  <si>
    <t>Miguel King</t>
  </si>
  <si>
    <t>POL7501891</t>
  </si>
  <si>
    <t>valerie77@miller-wise.edu.au</t>
  </si>
  <si>
    <t>(02)-1589-9527</t>
  </si>
  <si>
    <t>Anthony Wade</t>
  </si>
  <si>
    <t>Jordan Gonzalez</t>
  </si>
  <si>
    <t>POL4443492</t>
  </si>
  <si>
    <t>amandarobinson@bailey.com.au</t>
  </si>
  <si>
    <t>+61 445 193 756</t>
  </si>
  <si>
    <t>Dana Leonard</t>
  </si>
  <si>
    <t>Megan Peterson MD</t>
  </si>
  <si>
    <t>POL6213909</t>
  </si>
  <si>
    <t>morganfrances@yahoo.com</t>
  </si>
  <si>
    <t>03 1696 6817</t>
  </si>
  <si>
    <t>George Roberts</t>
  </si>
  <si>
    <t>Sheila Ramirez</t>
  </si>
  <si>
    <t>POL3752389</t>
  </si>
  <si>
    <t>lopezshawn@gmail.com</t>
  </si>
  <si>
    <t>07-4114-7144</t>
  </si>
  <si>
    <t>Evan Brown</t>
  </si>
  <si>
    <t>Luke Davis</t>
  </si>
  <si>
    <t>POL3091544</t>
  </si>
  <si>
    <t>shaun33@hotmail.com.au</t>
  </si>
  <si>
    <t>+61.431.873.343</t>
  </si>
  <si>
    <t>James Phillips</t>
  </si>
  <si>
    <t>Taylor Gutierrez</t>
  </si>
  <si>
    <t>POL6687587</t>
  </si>
  <si>
    <t>garciawesley@walker.org.au</t>
  </si>
  <si>
    <t>(08).1001.8552</t>
  </si>
  <si>
    <t>Margaret Chavez</t>
  </si>
  <si>
    <t>Sandra Howell</t>
  </si>
  <si>
    <t>POL3113719</t>
  </si>
  <si>
    <t>danielgreene@hotmail.com</t>
  </si>
  <si>
    <t>George Stewart</t>
  </si>
  <si>
    <t>Michael Walker</t>
  </si>
  <si>
    <t>POL1841825</t>
  </si>
  <si>
    <t>williamsvickie@gmail.com</t>
  </si>
  <si>
    <t>(07) 5085 6469</t>
  </si>
  <si>
    <t>Richard Herrera</t>
  </si>
  <si>
    <t>Manuel Foley</t>
  </si>
  <si>
    <t>POL8607121</t>
  </si>
  <si>
    <t>jarviswilliam@hotmail.com</t>
  </si>
  <si>
    <t>+61 457 143 243</t>
  </si>
  <si>
    <t>Diane Mcclure</t>
  </si>
  <si>
    <t>Diana Baker</t>
  </si>
  <si>
    <t>POL8599934</t>
  </si>
  <si>
    <t>kristenscott@riley-murphy.biz</t>
  </si>
  <si>
    <t>Nicholas Morales</t>
  </si>
  <si>
    <t>James Carroll</t>
  </si>
  <si>
    <t>POL4256319</t>
  </si>
  <si>
    <t>ocobb@yahoo.com.au</t>
  </si>
  <si>
    <t>(08).6727.6611</t>
  </si>
  <si>
    <t>Jason Lee</t>
  </si>
  <si>
    <t>Jasmine Schmidt</t>
  </si>
  <si>
    <t>POL6548205</t>
  </si>
  <si>
    <t>zshaw@porter-gomez.com.au</t>
  </si>
  <si>
    <t>+61 8 1006 2005</t>
  </si>
  <si>
    <t>Alexis Miller</t>
  </si>
  <si>
    <t>George Burton</t>
  </si>
  <si>
    <t>POL4028167</t>
  </si>
  <si>
    <t>skaiser@hotmail.com.au</t>
  </si>
  <si>
    <t>(02)-8330-8099</t>
  </si>
  <si>
    <t>Michael Steele</t>
  </si>
  <si>
    <t>Yesenia Gray</t>
  </si>
  <si>
    <t>POL6220791</t>
  </si>
  <si>
    <t>thomasapril@diaz.com.au</t>
  </si>
  <si>
    <t>0425 119 292</t>
  </si>
  <si>
    <t>Ebony Graham</t>
  </si>
  <si>
    <t>Adam Mcgee</t>
  </si>
  <si>
    <t>POL1877260</t>
  </si>
  <si>
    <t>denisebaker@hotmail.com</t>
  </si>
  <si>
    <t>Melissa Yang</t>
  </si>
  <si>
    <t>Heidi Perry</t>
  </si>
  <si>
    <t>POL4168037</t>
  </si>
  <si>
    <t>olewis@martin.org</t>
  </si>
  <si>
    <t>0405-446-765</t>
  </si>
  <si>
    <t>Jessica Gallagher</t>
  </si>
  <si>
    <t>Timothy Morales</t>
  </si>
  <si>
    <t>POL4563722</t>
  </si>
  <si>
    <t>kristen09@drake.net.au</t>
  </si>
  <si>
    <t>(02) 1832 8879</t>
  </si>
  <si>
    <t>Tammy Reed</t>
  </si>
  <si>
    <t>Joshua Potter</t>
  </si>
  <si>
    <t>POL7689924</t>
  </si>
  <si>
    <t>bfoster@yahoo.com</t>
  </si>
  <si>
    <t>9064-4615</t>
  </si>
  <si>
    <t>Scott Lynch</t>
  </si>
  <si>
    <t>Mrs. Rebecca Johnson</t>
  </si>
  <si>
    <t>POL6537102</t>
  </si>
  <si>
    <t>zlyons@hensley.net.au</t>
  </si>
  <si>
    <t>(07)-2985-6275</t>
  </si>
  <si>
    <t>Anne Thomas</t>
  </si>
  <si>
    <t>Jason Rogers</t>
  </si>
  <si>
    <t>POL5032197</t>
  </si>
  <si>
    <t>pestrada@yahoo.com.au</t>
  </si>
  <si>
    <t>Michael Daniels</t>
  </si>
  <si>
    <t>Samantha Davis</t>
  </si>
  <si>
    <t>POL9533623</t>
  </si>
  <si>
    <t>qbrown@hotmail.com</t>
  </si>
  <si>
    <t>03-2507-1863</t>
  </si>
  <si>
    <t>Kaylee Kim</t>
  </si>
  <si>
    <t>Lisa Perry</t>
  </si>
  <si>
    <t>POL8559767</t>
  </si>
  <si>
    <t>xhernandez@hotmail.com.au</t>
  </si>
  <si>
    <t>Gregory Haley</t>
  </si>
  <si>
    <t>POL2840897</t>
  </si>
  <si>
    <t>keithsmith@miller.net.au</t>
  </si>
  <si>
    <t>0403 857 189</t>
  </si>
  <si>
    <t>Christopher Stark</t>
  </si>
  <si>
    <t>Valerie Peters</t>
  </si>
  <si>
    <t>POL2294216</t>
  </si>
  <si>
    <t>schmidtkimberly@gmail.com</t>
  </si>
  <si>
    <t>07-6015-6035</t>
  </si>
  <si>
    <t>Tiffany Johnson</t>
  </si>
  <si>
    <t>Matthew Smith</t>
  </si>
  <si>
    <t>POL2059659</t>
  </si>
  <si>
    <t>kevin37@adams-velazquez.com</t>
  </si>
  <si>
    <t>Janet Ford</t>
  </si>
  <si>
    <t>Brittany Perkins</t>
  </si>
  <si>
    <t>POL1332112</t>
  </si>
  <si>
    <t>timothydavis@salazar-davis.org.au</t>
  </si>
  <si>
    <t>9918 1117</t>
  </si>
  <si>
    <t>Victoria Harrell</t>
  </si>
  <si>
    <t>Douglas Vargas</t>
  </si>
  <si>
    <t>POL8113970</t>
  </si>
  <si>
    <t>lisawilliams@martin-hall.edu</t>
  </si>
  <si>
    <t>Caroline Walker</t>
  </si>
  <si>
    <t>Kathy Roach</t>
  </si>
  <si>
    <t>POL7111070</t>
  </si>
  <si>
    <t>ibaird@yahoo.com.au</t>
  </si>
  <si>
    <t>8557 9601</t>
  </si>
  <si>
    <t>Patricia Santos</t>
  </si>
  <si>
    <t>Joel Cook</t>
  </si>
  <si>
    <t>POL6949019</t>
  </si>
  <si>
    <t>tduarte@hotmail.com.au</t>
  </si>
  <si>
    <t>08.8361.3419</t>
  </si>
  <si>
    <t>William Figueroa</t>
  </si>
  <si>
    <t>Mr. Thomas Gonzales</t>
  </si>
  <si>
    <t>POL6144286</t>
  </si>
  <si>
    <t>timothy76@hotmail.com</t>
  </si>
  <si>
    <t>+61 492 682 259</t>
  </si>
  <si>
    <t>Karl Johnson</t>
  </si>
  <si>
    <t>POL3276023</t>
  </si>
  <si>
    <t>yyates@goodman-grimes.com</t>
  </si>
  <si>
    <t>(08)70958993</t>
  </si>
  <si>
    <t>Catherine Burch</t>
  </si>
  <si>
    <t>POL9820548</t>
  </si>
  <si>
    <t>rjohnson@warren-gates.biz</t>
  </si>
  <si>
    <t>Daniel Miller</t>
  </si>
  <si>
    <t>Christina Arias</t>
  </si>
  <si>
    <t>POL4981430</t>
  </si>
  <si>
    <t>wendywalker@yahoo.com</t>
  </si>
  <si>
    <t>Paul Kim</t>
  </si>
  <si>
    <t>Mary Carroll</t>
  </si>
  <si>
    <t>POL1209604</t>
  </si>
  <si>
    <t>philipryan@hotmail.com</t>
  </si>
  <si>
    <t>(08).0988.1760</t>
  </si>
  <si>
    <t>Emily Navarro</t>
  </si>
  <si>
    <t>Laura Sloan</t>
  </si>
  <si>
    <t>POL8432474</t>
  </si>
  <si>
    <t>vrose@gill-may.org.au</t>
  </si>
  <si>
    <t>David Cooper</t>
  </si>
  <si>
    <t>POL3549095</t>
  </si>
  <si>
    <t>abrown@hinton.edu</t>
  </si>
  <si>
    <t>Tanya Carroll</t>
  </si>
  <si>
    <t>Mark Preston</t>
  </si>
  <si>
    <t>POL6390233</t>
  </si>
  <si>
    <t>frankflores@singh.info</t>
  </si>
  <si>
    <t>(02)-0339-2761</t>
  </si>
  <si>
    <t>Mark Smith</t>
  </si>
  <si>
    <t>Paul Robinson MD</t>
  </si>
  <si>
    <t>POL8784364</t>
  </si>
  <si>
    <t>davissarah@johnson.com</t>
  </si>
  <si>
    <t>07.7519.3883</t>
  </si>
  <si>
    <t>Kyle Travis</t>
  </si>
  <si>
    <t>Karen Daniel</t>
  </si>
  <si>
    <t>POL6917099</t>
  </si>
  <si>
    <t>deanwarren@stone.org</t>
  </si>
  <si>
    <t>(03)06226597</t>
  </si>
  <si>
    <t>Kenneth Oconnor</t>
  </si>
  <si>
    <t>Katherine Clark</t>
  </si>
  <si>
    <t>POL5545779</t>
  </si>
  <si>
    <t>lsmith@hotmail.com</t>
  </si>
  <si>
    <t>+61 424 779 345</t>
  </si>
  <si>
    <t>Kayla White</t>
  </si>
  <si>
    <t>Christine Choi</t>
  </si>
  <si>
    <t>POL7386558</t>
  </si>
  <si>
    <t>jgraves@yahoo.com</t>
  </si>
  <si>
    <t>Elizabeth Wilson</t>
  </si>
  <si>
    <t>Douglas Roth</t>
  </si>
  <si>
    <t>POL5677361</t>
  </si>
  <si>
    <t>uphillips@robinson.com</t>
  </si>
  <si>
    <t>+61.3.0419.0250</t>
  </si>
  <si>
    <t>Meghan Baker</t>
  </si>
  <si>
    <t>Ian Sanders</t>
  </si>
  <si>
    <t>POL9088024</t>
  </si>
  <si>
    <t>oharris@hotmail.com.au</t>
  </si>
  <si>
    <t>Kim Galvan</t>
  </si>
  <si>
    <t>Mr. Christopher Woods</t>
  </si>
  <si>
    <t>POL7738622</t>
  </si>
  <si>
    <t>alexis42@johnson.edu</t>
  </si>
  <si>
    <t>+61 2 6482 8909</t>
  </si>
  <si>
    <t>Micheal Reeves</t>
  </si>
  <si>
    <t>Monique Lambert</t>
  </si>
  <si>
    <t>POL9645621</t>
  </si>
  <si>
    <t>martinezanthony@price.edu</t>
  </si>
  <si>
    <t>3870 1675</t>
  </si>
  <si>
    <t>Steven Gregory</t>
  </si>
  <si>
    <t>Adam Anderson</t>
  </si>
  <si>
    <t>POL4131966</t>
  </si>
  <si>
    <t>uhouston@gmail.com</t>
  </si>
  <si>
    <t>4720 8580</t>
  </si>
  <si>
    <t>Regina Stewart</t>
  </si>
  <si>
    <t>Patricia Yates</t>
  </si>
  <si>
    <t>POL3685389</t>
  </si>
  <si>
    <t>gavinlee@martin.edu.au</t>
  </si>
  <si>
    <t>4898 1272</t>
  </si>
  <si>
    <t>Lonnie Harris</t>
  </si>
  <si>
    <t>David Allen</t>
  </si>
  <si>
    <t>POL3878810</t>
  </si>
  <si>
    <t>kyle94@mitchell-patrick.org</t>
  </si>
  <si>
    <t>0437 631 913</t>
  </si>
  <si>
    <t>Joann Potts</t>
  </si>
  <si>
    <t>Daniel Young</t>
  </si>
  <si>
    <t>POL4826933</t>
  </si>
  <si>
    <t>yross@yahoo.com</t>
  </si>
  <si>
    <t>(08)-8406-8110</t>
  </si>
  <si>
    <t>Chelsea Hammond</t>
  </si>
  <si>
    <t>Susan Mora</t>
  </si>
  <si>
    <t>POL8339951</t>
  </si>
  <si>
    <t>david26@davis-baker.org</t>
  </si>
  <si>
    <t>6602-3239</t>
  </si>
  <si>
    <t>Chad Sanchez</t>
  </si>
  <si>
    <t>Jonathan Mendez</t>
  </si>
  <si>
    <t>POL3464067</t>
  </si>
  <si>
    <t>morrisonnicholas@gillespie.info</t>
  </si>
  <si>
    <t>(02) 1999 7801</t>
  </si>
  <si>
    <t>Lisa Roberts</t>
  </si>
  <si>
    <t>Steven Smith</t>
  </si>
  <si>
    <t>POL2167675</t>
  </si>
  <si>
    <t>sean21@hotmail.com.au</t>
  </si>
  <si>
    <t>5525-1478</t>
  </si>
  <si>
    <t>Patrick Graham</t>
  </si>
  <si>
    <t>Susan Ford</t>
  </si>
  <si>
    <t>POL9840784</t>
  </si>
  <si>
    <t>alloyd@yahoo.com</t>
  </si>
  <si>
    <t>07-0683-8738</t>
  </si>
  <si>
    <t>Sandra Howard</t>
  </si>
  <si>
    <t>Steven Aguirre</t>
  </si>
  <si>
    <t>POL1408957</t>
  </si>
  <si>
    <t>nguyensteven@brown-thompson.edu.au</t>
  </si>
  <si>
    <t>(03)-7351-5634</t>
  </si>
  <si>
    <t>Sarah Mccarthy</t>
  </si>
  <si>
    <t>Timothy Vasquez</t>
  </si>
  <si>
    <t>POL3809490</t>
  </si>
  <si>
    <t>brett50@gmail.com</t>
  </si>
  <si>
    <t>0429 680 413</t>
  </si>
  <si>
    <t>Steve Lawson</t>
  </si>
  <si>
    <t>Mary Salas</t>
  </si>
  <si>
    <t>POL8068794</t>
  </si>
  <si>
    <t>adamsjeffery@hotmail.com.au</t>
  </si>
  <si>
    <t>7001 3033</t>
  </si>
  <si>
    <t>Natalie Perkins</t>
  </si>
  <si>
    <t>Sarah Mclean</t>
  </si>
  <si>
    <t>POL3762634</t>
  </si>
  <si>
    <t>melissa07@hotmail.com.au</t>
  </si>
  <si>
    <t>07.7122.7011</t>
  </si>
  <si>
    <t>Michael Rodriguez</t>
  </si>
  <si>
    <t>Jennifer Nguyen</t>
  </si>
  <si>
    <t>POL4900381</t>
  </si>
  <si>
    <t>brownmitchell@alvarado.net</t>
  </si>
  <si>
    <t>Zachary Meyer</t>
  </si>
  <si>
    <t>Gina Sanchez</t>
  </si>
  <si>
    <t>POL4786882</t>
  </si>
  <si>
    <t>jeanettecarr@brown.com</t>
  </si>
  <si>
    <t>7566-6600</t>
  </si>
  <si>
    <t>Tracy Weber</t>
  </si>
  <si>
    <t>Brett Bullock</t>
  </si>
  <si>
    <t>POL8519967</t>
  </si>
  <si>
    <t>kevinmueller@brown.edu.au</t>
  </si>
  <si>
    <t>Carrie Alvarado</t>
  </si>
  <si>
    <t>Courtney Rodriguez</t>
  </si>
  <si>
    <t>POL2432186</t>
  </si>
  <si>
    <t>pnoble@hotmail.com</t>
  </si>
  <si>
    <t>07.2534.7794</t>
  </si>
  <si>
    <t>Lisa Flowers</t>
  </si>
  <si>
    <t>Madison Hall</t>
  </si>
  <si>
    <t>POL9674546</t>
  </si>
  <si>
    <t>vazquezkyle@yahoo.com</t>
  </si>
  <si>
    <t>0499 413 158</t>
  </si>
  <si>
    <t>Shannon Miller</t>
  </si>
  <si>
    <t>Stephanie Jones</t>
  </si>
  <si>
    <t>POL1025471</t>
  </si>
  <si>
    <t>kristopher24@smith.net.au</t>
  </si>
  <si>
    <t>(03)41055203</t>
  </si>
  <si>
    <t>Mary Shaw</t>
  </si>
  <si>
    <t>Victoria Raymond</t>
  </si>
  <si>
    <t>POL1189637</t>
  </si>
  <si>
    <t>hdaniels@francis-phillips.info</t>
  </si>
  <si>
    <t>0439 593 885</t>
  </si>
  <si>
    <t>Kristin Moreno</t>
  </si>
  <si>
    <t>Penny Sanders</t>
  </si>
  <si>
    <t>POL4151319</t>
  </si>
  <si>
    <t>kbrown@hotmail.com</t>
  </si>
  <si>
    <t>02.2460.9617</t>
  </si>
  <si>
    <t>Tiffany King</t>
  </si>
  <si>
    <t>POL6705537</t>
  </si>
  <si>
    <t>lgonzales@gmail.com</t>
  </si>
  <si>
    <t>Matthew Ward</t>
  </si>
  <si>
    <t>Marissa Smith</t>
  </si>
  <si>
    <t>POL1955099</t>
  </si>
  <si>
    <t>kyle22@gmail.com</t>
  </si>
  <si>
    <t>+61 432 074 277</t>
  </si>
  <si>
    <t>Fernando Reid</t>
  </si>
  <si>
    <t>Gerald Kim</t>
  </si>
  <si>
    <t>POL3563912</t>
  </si>
  <si>
    <t>william89@hotmail.com</t>
  </si>
  <si>
    <t>Joshua Cunningham</t>
  </si>
  <si>
    <t>Jacob Cooper</t>
  </si>
  <si>
    <t>POL5159634</t>
  </si>
  <si>
    <t>gardnersierra@gmail.com</t>
  </si>
  <si>
    <t>+61.435.059.302</t>
  </si>
  <si>
    <t>Melissa Huang</t>
  </si>
  <si>
    <t>Erica Bennett</t>
  </si>
  <si>
    <t>POL1750932</t>
  </si>
  <si>
    <t>popechad@hotmail.com.au</t>
  </si>
  <si>
    <t>(03)-6121-1527</t>
  </si>
  <si>
    <t>Bethany Gilbert</t>
  </si>
  <si>
    <t>Kyle Archer</t>
  </si>
  <si>
    <t>POL6649528</t>
  </si>
  <si>
    <t>wriggs@yahoo.com</t>
  </si>
  <si>
    <t>+61 419 950 797</t>
  </si>
  <si>
    <t>William Conrad</t>
  </si>
  <si>
    <t>Diana Douglas</t>
  </si>
  <si>
    <t>POL6940646</t>
  </si>
  <si>
    <t>andrea07@gates.net</t>
  </si>
  <si>
    <t>+61 2 8587 3919</t>
  </si>
  <si>
    <t>Erin Lopez</t>
  </si>
  <si>
    <t>Mrs. Vanessa Green MD</t>
  </si>
  <si>
    <t>POL7725111</t>
  </si>
  <si>
    <t>andrew83@yahoo.com</t>
  </si>
  <si>
    <t>+61.410.443.899</t>
  </si>
  <si>
    <t>Linda Mckay</t>
  </si>
  <si>
    <t>POL1916567</t>
  </si>
  <si>
    <t>imoore@fitzgerald.org</t>
  </si>
  <si>
    <t>03.3479.5300</t>
  </si>
  <si>
    <t>Theresa Flores</t>
  </si>
  <si>
    <t>Patricia Watson</t>
  </si>
  <si>
    <t>POL8515492</t>
  </si>
  <si>
    <t>markcruz@hotmail.com.au</t>
  </si>
  <si>
    <t>(07).1825.4454</t>
  </si>
  <si>
    <t>Larry Barton</t>
  </si>
  <si>
    <t>Kathy Davis</t>
  </si>
  <si>
    <t>POL9132117</t>
  </si>
  <si>
    <t>pluna@henderson.org</t>
  </si>
  <si>
    <t>0467-348-771</t>
  </si>
  <si>
    <t>Joe Torres</t>
  </si>
  <si>
    <t>Vicki Miller</t>
  </si>
  <si>
    <t>POL9515418</t>
  </si>
  <si>
    <t>trevinokimberly@hernandez.edu</t>
  </si>
  <si>
    <t>Sandra Reynolds</t>
  </si>
  <si>
    <t>Victor Gonzalez</t>
  </si>
  <si>
    <t>POL8792013</t>
  </si>
  <si>
    <t>lwest@hotmail.com.au</t>
  </si>
  <si>
    <t>(07).0554.0213</t>
  </si>
  <si>
    <t>Derrick Flynn</t>
  </si>
  <si>
    <t>Casey White</t>
  </si>
  <si>
    <t>POL5603249</t>
  </si>
  <si>
    <t>jamie47@yahoo.com.au</t>
  </si>
  <si>
    <t>+61.428.420.190</t>
  </si>
  <si>
    <t>Jeffrey Kim</t>
  </si>
  <si>
    <t>Jaime Mcneil</t>
  </si>
  <si>
    <t>POL4896373</t>
  </si>
  <si>
    <t>omurphy@brown.info</t>
  </si>
  <si>
    <t>Jessica Melton</t>
  </si>
  <si>
    <t>Kevin Wise</t>
  </si>
  <si>
    <t>POL1735818</t>
  </si>
  <si>
    <t>ubailey@johnson.org.au</t>
  </si>
  <si>
    <t>0496.169.774</t>
  </si>
  <si>
    <t>Tom Galloway</t>
  </si>
  <si>
    <t>Patrick Hoffman</t>
  </si>
  <si>
    <t>POL1492859</t>
  </si>
  <si>
    <t>makayla78@west.biz</t>
  </si>
  <si>
    <t>+61 7 5840 6506</t>
  </si>
  <si>
    <t>Ashley Clark</t>
  </si>
  <si>
    <t>Victoria Smith</t>
  </si>
  <si>
    <t>POL3467733</t>
  </si>
  <si>
    <t>halljessica@moore-martinez.edu</t>
  </si>
  <si>
    <t>4595-6478</t>
  </si>
  <si>
    <t>Sandra Lee</t>
  </si>
  <si>
    <t>Cassandra Hodges</t>
  </si>
  <si>
    <t>POL3404076</t>
  </si>
  <si>
    <t>02-7062-5113</t>
  </si>
  <si>
    <t>Becky Smith</t>
  </si>
  <si>
    <t>Bob Cooper</t>
  </si>
  <si>
    <t>POL2804940</t>
  </si>
  <si>
    <t>zgarcia@yahoo.com</t>
  </si>
  <si>
    <t>Antonio Flores</t>
  </si>
  <si>
    <t>Michelle Delgado</t>
  </si>
  <si>
    <t>POL1346398</t>
  </si>
  <si>
    <t>samantha16@thomas.net.au</t>
  </si>
  <si>
    <t>8455-3320</t>
  </si>
  <si>
    <t>Derrick Jones</t>
  </si>
  <si>
    <t>Mr. Alan Bolton</t>
  </si>
  <si>
    <t>POL3779443</t>
  </si>
  <si>
    <t>annette35@baker.org.au</t>
  </si>
  <si>
    <t>(08)68835171</t>
  </si>
  <si>
    <t>Jacqueline Swanson</t>
  </si>
  <si>
    <t>Sandra Mitchell</t>
  </si>
  <si>
    <t>POL6933932</t>
  </si>
  <si>
    <t>abbottkyle@yahoo.com.au</t>
  </si>
  <si>
    <t>(08)40391880</t>
  </si>
  <si>
    <t>Briana Gardner</t>
  </si>
  <si>
    <t>Roberto Fisher</t>
  </si>
  <si>
    <t>POL1191388</t>
  </si>
  <si>
    <t>mcgeesandra@hotmail.com.au</t>
  </si>
  <si>
    <t>0490-292-208</t>
  </si>
  <si>
    <t>James Brooks</t>
  </si>
  <si>
    <t>Charles Wood Jr.</t>
  </si>
  <si>
    <t>POL1061829</t>
  </si>
  <si>
    <t>patricia53@rojas.com</t>
  </si>
  <si>
    <t>+61 7 7877 4469</t>
  </si>
  <si>
    <t>Kayla Cunningham</t>
  </si>
  <si>
    <t>John Clayton</t>
  </si>
  <si>
    <t>POL4281944</t>
  </si>
  <si>
    <t>mccartytimothy@yahoo.com</t>
  </si>
  <si>
    <t>(02).3242.7396</t>
  </si>
  <si>
    <t>Dennis Brown</t>
  </si>
  <si>
    <t>Jennifer Kline</t>
  </si>
  <si>
    <t>POL7877814</t>
  </si>
  <si>
    <t>jesparza@yahoo.com.au</t>
  </si>
  <si>
    <t>Michael David</t>
  </si>
  <si>
    <t>Edward Hendrix</t>
  </si>
  <si>
    <t>POL2451370</t>
  </si>
  <si>
    <t>stevendavis@gmail.com</t>
  </si>
  <si>
    <t>Eric Chang</t>
  </si>
  <si>
    <t>Steven Adams</t>
  </si>
  <si>
    <t>POL3026744</t>
  </si>
  <si>
    <t>gina78@hotmail.com.au</t>
  </si>
  <si>
    <t>0408 6645</t>
  </si>
  <si>
    <t>Morgan Henry</t>
  </si>
  <si>
    <t>Daniel Morris MD</t>
  </si>
  <si>
    <t>POL4679845</t>
  </si>
  <si>
    <t>shawclifford@yahoo.com.au</t>
  </si>
  <si>
    <t>03 6438 4431</t>
  </si>
  <si>
    <t>Kaitlyn Duran</t>
  </si>
  <si>
    <t>Debbie Moore</t>
  </si>
  <si>
    <t>POL8774468</t>
  </si>
  <si>
    <t>oschneider@hanson.com</t>
  </si>
  <si>
    <t>(07)-4384-5563</t>
  </si>
  <si>
    <t>Kelly Green</t>
  </si>
  <si>
    <t>Virginia Morris</t>
  </si>
  <si>
    <t>POL8020505</t>
  </si>
  <si>
    <t>tammy59@gmail.com</t>
  </si>
  <si>
    <t>08 1984 3872</t>
  </si>
  <si>
    <t>Jeffrey Sharp</t>
  </si>
  <si>
    <t>Rachel Fuller</t>
  </si>
  <si>
    <t>POL6419148</t>
  </si>
  <si>
    <t>michael34@price-webb.com.au</t>
  </si>
  <si>
    <t>0431 628 124</t>
  </si>
  <si>
    <t>Martha Clark</t>
  </si>
  <si>
    <t>David Morgan</t>
  </si>
  <si>
    <t>POL2873149</t>
  </si>
  <si>
    <t>brendastewart@kennedy.edu.au</t>
  </si>
  <si>
    <t>0443 655 668</t>
  </si>
  <si>
    <t>William Mcgee</t>
  </si>
  <si>
    <t>Jessica Powell</t>
  </si>
  <si>
    <t>POL5376305</t>
  </si>
  <si>
    <t>fostermatthew@hotmail.com</t>
  </si>
  <si>
    <t>(07)-5565-2061</t>
  </si>
  <si>
    <t>Henry Watson</t>
  </si>
  <si>
    <t>Sara Thompson</t>
  </si>
  <si>
    <t>POL8079700</t>
  </si>
  <si>
    <t>davisterrance@stokes.edu</t>
  </si>
  <si>
    <t>9430 9955</t>
  </si>
  <si>
    <t>Andrea Hernandez</t>
  </si>
  <si>
    <t>Jack Reynolds</t>
  </si>
  <si>
    <t>POL6766009</t>
  </si>
  <si>
    <t>ztaylor@hotmail.com.au</t>
  </si>
  <si>
    <t>+61.403.499.171</t>
  </si>
  <si>
    <t>Edward Robinson</t>
  </si>
  <si>
    <t>Jennifer Sutton</t>
  </si>
  <si>
    <t>POL8800822</t>
  </si>
  <si>
    <t>eric48@hotmail.com</t>
  </si>
  <si>
    <t>+61 8 8328 6841</t>
  </si>
  <si>
    <t>Alfred Morris</t>
  </si>
  <si>
    <t>Mrs. Danielle Stewart DDS</t>
  </si>
  <si>
    <t>POL2419714</t>
  </si>
  <si>
    <t>rperez@gmail.com</t>
  </si>
  <si>
    <t>0461-574-816</t>
  </si>
  <si>
    <t>Karen Scott</t>
  </si>
  <si>
    <t>POL9441819</t>
  </si>
  <si>
    <t>jacksongerald@wells-harding.edu</t>
  </si>
  <si>
    <t>+61.442.761.243</t>
  </si>
  <si>
    <t>Jason Daniels</t>
  </si>
  <si>
    <t>Gary Campbell</t>
  </si>
  <si>
    <t>POL7744569</t>
  </si>
  <si>
    <t>valdezmelissa@thompson.edu.au</t>
  </si>
  <si>
    <t>+61 7 3746 6557</t>
  </si>
  <si>
    <t>Sheila Chen</t>
  </si>
  <si>
    <t>Dominique Alvarado</t>
  </si>
  <si>
    <t>POL2829454</t>
  </si>
  <si>
    <t>sharigreen@yahoo.com.au</t>
  </si>
  <si>
    <t>(08)-8454-3299</t>
  </si>
  <si>
    <t>Christine Curtis</t>
  </si>
  <si>
    <t>Kimberly Scott</t>
  </si>
  <si>
    <t>POL2785518</t>
  </si>
  <si>
    <t>dennishoover@hotmail.com</t>
  </si>
  <si>
    <t>2209 5498</t>
  </si>
  <si>
    <t>David Fleming</t>
  </si>
  <si>
    <t>Janice Ramirez</t>
  </si>
  <si>
    <t>POL9033143</t>
  </si>
  <si>
    <t>christine94@brown.edu</t>
  </si>
  <si>
    <t>Megan Beltran</t>
  </si>
  <si>
    <t>Donna Swanson MD</t>
  </si>
  <si>
    <t>POL9455596</t>
  </si>
  <si>
    <t>laustin@chase.net.au</t>
  </si>
  <si>
    <t>Stephen Mills</t>
  </si>
  <si>
    <t>Christopher Castro</t>
  </si>
  <si>
    <t>POL2059715</t>
  </si>
  <si>
    <t>mcintyreholly@hotmail.com.au</t>
  </si>
  <si>
    <t>Sonya Bruce</t>
  </si>
  <si>
    <t>POL5889456</t>
  </si>
  <si>
    <t>xblair@yahoo.com</t>
  </si>
  <si>
    <t>Stephanie Rivera</t>
  </si>
  <si>
    <t>James Williams</t>
  </si>
  <si>
    <t>POL7527632</t>
  </si>
  <si>
    <t>shawn85@watkins.org</t>
  </si>
  <si>
    <t>Mitchell Dyer</t>
  </si>
  <si>
    <t>Craig Jones</t>
  </si>
  <si>
    <t>POL9919470</t>
  </si>
  <si>
    <t>brian34@simon.com</t>
  </si>
  <si>
    <t>(03).4209.0265</t>
  </si>
  <si>
    <t>Anthony Mejia</t>
  </si>
  <si>
    <t>Derrick Martinez</t>
  </si>
  <si>
    <t>POL1246469</t>
  </si>
  <si>
    <t>morgan51@cruz-stephens.net.au</t>
  </si>
  <si>
    <t>03-2634-9824</t>
  </si>
  <si>
    <t>Kimberly Foster</t>
  </si>
  <si>
    <t>David Moore</t>
  </si>
  <si>
    <t>POL2718010</t>
  </si>
  <si>
    <t>sherrysmall@gmail.com</t>
  </si>
  <si>
    <t>Anna Li</t>
  </si>
  <si>
    <t>Rickey Smith</t>
  </si>
  <si>
    <t>POL9082798</t>
  </si>
  <si>
    <t>zmurphy@bradford-wallace.net</t>
  </si>
  <si>
    <t>+61 7 5277 6876</t>
  </si>
  <si>
    <t>Elizabeth Hess</t>
  </si>
  <si>
    <t>Charles Flynn</t>
  </si>
  <si>
    <t>POL4324383</t>
  </si>
  <si>
    <t>schroederkimberly@yahoo.com.au</t>
  </si>
  <si>
    <t>Samantha Wright</t>
  </si>
  <si>
    <t>Kerry Charles</t>
  </si>
  <si>
    <t>POL4846290</t>
  </si>
  <si>
    <t>hallsharon@lindsey-mahoney.edu.au</t>
  </si>
  <si>
    <t>0479.108.737</t>
  </si>
  <si>
    <t>Paul Griffin</t>
  </si>
  <si>
    <t>Tracy Butler</t>
  </si>
  <si>
    <t>POL2685456</t>
  </si>
  <si>
    <t>drewhenry@hotmail.com.au</t>
  </si>
  <si>
    <t>(02)-1878-7808</t>
  </si>
  <si>
    <t>Nathan Suarez</t>
  </si>
  <si>
    <t>Hayden Odonnell II</t>
  </si>
  <si>
    <t>POL7288636</t>
  </si>
  <si>
    <t>greendavid@gmail.com</t>
  </si>
  <si>
    <t>4811-1945</t>
  </si>
  <si>
    <t>David Henderson</t>
  </si>
  <si>
    <t>Desiree Herrera</t>
  </si>
  <si>
    <t>POL8538960</t>
  </si>
  <si>
    <t>sarahbooker@yahoo.com</t>
  </si>
  <si>
    <t>Sophia Anderson</t>
  </si>
  <si>
    <t>James Washington</t>
  </si>
  <si>
    <t>POL9955554</t>
  </si>
  <si>
    <t>craig40@hotmail.com</t>
  </si>
  <si>
    <t>(08) 9899 0398</t>
  </si>
  <si>
    <t>Marcus Wilson</t>
  </si>
  <si>
    <t>Susan Reyes</t>
  </si>
  <si>
    <t>POL7789273</t>
  </si>
  <si>
    <t>sellersvirginia@padilla.edu.au</t>
  </si>
  <si>
    <t>+61 446 947 834</t>
  </si>
  <si>
    <t>Eric Walker</t>
  </si>
  <si>
    <t>Brianna Woodward</t>
  </si>
  <si>
    <t>POL7735051</t>
  </si>
  <si>
    <t>garciachristine@hoover.net.au</t>
  </si>
  <si>
    <t>(08)-2119-0131</t>
  </si>
  <si>
    <t>Richard Johnson</t>
  </si>
  <si>
    <t>Dylan Walker</t>
  </si>
  <si>
    <t>POL3237263</t>
  </si>
  <si>
    <t>drakesamantha@golden.org</t>
  </si>
  <si>
    <t>+61.3.5881.1750</t>
  </si>
  <si>
    <t>Brooke Henry</t>
  </si>
  <si>
    <t>Sarah Hartman</t>
  </si>
  <si>
    <t>POL5741313</t>
  </si>
  <si>
    <t>jodi05@hale-burke.net.au</t>
  </si>
  <si>
    <t>0278 3714</t>
  </si>
  <si>
    <t>Dana Thomas</t>
  </si>
  <si>
    <t>Jeffrey Smith</t>
  </si>
  <si>
    <t>POL8732263</t>
  </si>
  <si>
    <t>jessica21@yahoo.com</t>
  </si>
  <si>
    <t>+61 438 716 143</t>
  </si>
  <si>
    <t>Gary Gill</t>
  </si>
  <si>
    <t>POL9671382</t>
  </si>
  <si>
    <t>andrewking@elliott.org.au</t>
  </si>
  <si>
    <t>Denise Mahoney</t>
  </si>
  <si>
    <t>Theresa Watts</t>
  </si>
  <si>
    <t>POL8431025</t>
  </si>
  <si>
    <t>dennis45@buckley.net</t>
  </si>
  <si>
    <t>(07) 6434 6013</t>
  </si>
  <si>
    <t>Peter Wilson</t>
  </si>
  <si>
    <t>Andrea Willis</t>
  </si>
  <si>
    <t>POL4836420</t>
  </si>
  <si>
    <t>shafferjoy@gmail.com</t>
  </si>
  <si>
    <t>(02)99310978</t>
  </si>
  <si>
    <t>Christopher Howell</t>
  </si>
  <si>
    <t>Crystal Miller</t>
  </si>
  <si>
    <t>POL2465644</t>
  </si>
  <si>
    <t>barnesmichael@nunez.edu</t>
  </si>
  <si>
    <t>3401 6308</t>
  </si>
  <si>
    <t>Anthony Conway</t>
  </si>
  <si>
    <t>Christopher Rosales</t>
  </si>
  <si>
    <t>POL6913130</t>
  </si>
  <si>
    <t>bethpaul@walters-brooks.biz</t>
  </si>
  <si>
    <t>9918 4669</t>
  </si>
  <si>
    <t>Christina Mejia</t>
  </si>
  <si>
    <t>Nicholas Wilson</t>
  </si>
  <si>
    <t>POL3875647</t>
  </si>
  <si>
    <t>donaldmiller@barton.org</t>
  </si>
  <si>
    <t>+61 8 2089 1043</t>
  </si>
  <si>
    <t>Hannah Mcclain</t>
  </si>
  <si>
    <t>POL3561298</t>
  </si>
  <si>
    <t>ariel88@miles-norman.net.au</t>
  </si>
  <si>
    <t>+61.404.188.286</t>
  </si>
  <si>
    <t>Nancy Alvarez</t>
  </si>
  <si>
    <t>Jamie Wood</t>
  </si>
  <si>
    <t>POL5476227</t>
  </si>
  <si>
    <t>karen05@hotmail.com</t>
  </si>
  <si>
    <t>Renee Garner</t>
  </si>
  <si>
    <t>Charles Ward</t>
  </si>
  <si>
    <t>POL8016430</t>
  </si>
  <si>
    <t>leah40@hotmail.com</t>
  </si>
  <si>
    <t>Ronald Mcdaniel</t>
  </si>
  <si>
    <t>Christopher Lee</t>
  </si>
  <si>
    <t>POL2557231</t>
  </si>
  <si>
    <t>utaylor@rodriguez-clarke.info</t>
  </si>
  <si>
    <t>6832-5015</t>
  </si>
  <si>
    <t>Andrea Strickland</t>
  </si>
  <si>
    <t>Tiffany Murphy</t>
  </si>
  <si>
    <t>POL7592217</t>
  </si>
  <si>
    <t>amanda32@yahoo.com.au</t>
  </si>
  <si>
    <t>Mrs. Kayla Young</t>
  </si>
  <si>
    <t>Joseph Mckee</t>
  </si>
  <si>
    <t>POL3618895</t>
  </si>
  <si>
    <t>robert63@gmail.com</t>
  </si>
  <si>
    <t>02 4138 0315</t>
  </si>
  <si>
    <t>Jamie Clark</t>
  </si>
  <si>
    <t>Brian Shaw</t>
  </si>
  <si>
    <t>POL5486084</t>
  </si>
  <si>
    <t>denise81@byrd.org</t>
  </si>
  <si>
    <t>(03)-3723-1160</t>
  </si>
  <si>
    <t>Brittany Williams</t>
  </si>
  <si>
    <t>Caroline Jones</t>
  </si>
  <si>
    <t>POL3725492</t>
  </si>
  <si>
    <t>patricia11@yahoo.com</t>
  </si>
  <si>
    <t>(08).5595.6892</t>
  </si>
  <si>
    <t>Charles Warren</t>
  </si>
  <si>
    <t>Amanda Ray</t>
  </si>
  <si>
    <t>POL9131561</t>
  </si>
  <si>
    <t>jodiwood@gmail.com</t>
  </si>
  <si>
    <t>Jacqueline Adkins</t>
  </si>
  <si>
    <t>Daniel Sanford MD</t>
  </si>
  <si>
    <t>POL3689937</t>
  </si>
  <si>
    <t>nyates@smith-weber.com.au</t>
  </si>
  <si>
    <t>0420.473.652</t>
  </si>
  <si>
    <t>Erica Pearson</t>
  </si>
  <si>
    <t>Kyle Blake</t>
  </si>
  <si>
    <t>POL5699257</t>
  </si>
  <si>
    <t>ncase@lopez.biz</t>
  </si>
  <si>
    <t>07 4422 9182</t>
  </si>
  <si>
    <t>Megan Richardson</t>
  </si>
  <si>
    <t>Barbara Sparks</t>
  </si>
  <si>
    <t>POL7378709</t>
  </si>
  <si>
    <t>ramosrichard@watson-adams.edu</t>
  </si>
  <si>
    <t>+61.455.870.502</t>
  </si>
  <si>
    <t>Javier Gardner</t>
  </si>
  <si>
    <t>Kristi Vasquez</t>
  </si>
  <si>
    <t>POL4096483</t>
  </si>
  <si>
    <t>cstone@gallagher.edu</t>
  </si>
  <si>
    <t>Andrea Phillips</t>
  </si>
  <si>
    <t>Latoya Duncan</t>
  </si>
  <si>
    <t>POL3062412</t>
  </si>
  <si>
    <t>imaldonado@burns.com</t>
  </si>
  <si>
    <t>02 0125 2961</t>
  </si>
  <si>
    <t>Hannah Torres</t>
  </si>
  <si>
    <t>Travis Taylor</t>
  </si>
  <si>
    <t>POL5979755</t>
  </si>
  <si>
    <t>phillipsnoah@short-brown.org</t>
  </si>
  <si>
    <t>(08).5453.5949</t>
  </si>
  <si>
    <t>Anthony Johnson</t>
  </si>
  <si>
    <t>Stephanie Willis</t>
  </si>
  <si>
    <t>POL8689571</t>
  </si>
  <si>
    <t>daviddennis@smith.com.au</t>
  </si>
  <si>
    <t>Evan Lewis</t>
  </si>
  <si>
    <t>Glenn Galloway</t>
  </si>
  <si>
    <t>POL2599717</t>
  </si>
  <si>
    <t>selenasmith@yahoo.com</t>
  </si>
  <si>
    <t>(08)-8813-2801</t>
  </si>
  <si>
    <t>Steven Sanford</t>
  </si>
  <si>
    <t>Laura Welch</t>
  </si>
  <si>
    <t>POL7216109</t>
  </si>
  <si>
    <t>sylviaandrews@hotmail.com</t>
  </si>
  <si>
    <t>07 7541 0042</t>
  </si>
  <si>
    <t>Brent Gibbs</t>
  </si>
  <si>
    <t>Lindsey Jones</t>
  </si>
  <si>
    <t>POL8901569</t>
  </si>
  <si>
    <t>fwalls@alvarez-thomas.edu.au</t>
  </si>
  <si>
    <t>0494-511-440</t>
  </si>
  <si>
    <t>Miguel Moss</t>
  </si>
  <si>
    <t>Cynthia Hernandez</t>
  </si>
  <si>
    <t>POL4693261</t>
  </si>
  <si>
    <t>lisapham@hotmail.com</t>
  </si>
  <si>
    <t>02.7357.5917</t>
  </si>
  <si>
    <t>Kendra West</t>
  </si>
  <si>
    <t>Stephanie Wolfe</t>
  </si>
  <si>
    <t>POL6812114</t>
  </si>
  <si>
    <t>zmolina@lowery.com</t>
  </si>
  <si>
    <t>03.4494.7655</t>
  </si>
  <si>
    <t>Jasmine Poole</t>
  </si>
  <si>
    <t>Bethany Cummings</t>
  </si>
  <si>
    <t>POL8298673</t>
  </si>
  <si>
    <t>reynoldskevin@christensen.org</t>
  </si>
  <si>
    <t>Ralph Collins</t>
  </si>
  <si>
    <t>Kevin Ferguson</t>
  </si>
  <si>
    <t>POL8307379</t>
  </si>
  <si>
    <t>gibsonrachel@hotmail.com</t>
  </si>
  <si>
    <t>Nicholas Hernandez</t>
  </si>
  <si>
    <t>Nicholas Moss</t>
  </si>
  <si>
    <t>POL3378312</t>
  </si>
  <si>
    <t>smithkimberly@moore.info</t>
  </si>
  <si>
    <t>Garrett Fields</t>
  </si>
  <si>
    <t>Jimmy Bailey</t>
  </si>
  <si>
    <t>POL7268631</t>
  </si>
  <si>
    <t>carolhuerta@garza.biz</t>
  </si>
  <si>
    <t>0450 260 657</t>
  </si>
  <si>
    <t>Henry Berry</t>
  </si>
  <si>
    <t>Lisa Whitehead</t>
  </si>
  <si>
    <t>POL7525249</t>
  </si>
  <si>
    <t>robert03@hotmail.com</t>
  </si>
  <si>
    <t>+61 411 039 018</t>
  </si>
  <si>
    <t>Jonathan Cunningham</t>
  </si>
  <si>
    <t>Norman Hebert</t>
  </si>
  <si>
    <t>POL5260178</t>
  </si>
  <si>
    <t>tbowman@gmail.com</t>
  </si>
  <si>
    <t>02.7912.8650</t>
  </si>
  <si>
    <t>Amy Rivas</t>
  </si>
  <si>
    <t>Nicole Cameron</t>
  </si>
  <si>
    <t>POL6982614</t>
  </si>
  <si>
    <t>hallpaul@gmail.com</t>
  </si>
  <si>
    <t>James Dominguez</t>
  </si>
  <si>
    <t>Jeffery Sims</t>
  </si>
  <si>
    <t>POL4359246</t>
  </si>
  <si>
    <t>shawnthomas@gibson.com.au</t>
  </si>
  <si>
    <t>0424.050.963</t>
  </si>
  <si>
    <t>Jessica Williams</t>
  </si>
  <si>
    <t>Andrew Hill</t>
  </si>
  <si>
    <t>POL6085355</t>
  </si>
  <si>
    <t>wharvey@watkins-hoffman.net</t>
  </si>
  <si>
    <t>Justin Robinson</t>
  </si>
  <si>
    <t>POL9134854</t>
  </si>
  <si>
    <t>chavezdavid@hotmail.com</t>
  </si>
  <si>
    <t>Savannah Myers</t>
  </si>
  <si>
    <t>Thomas Jones</t>
  </si>
  <si>
    <t>POL2916362</t>
  </si>
  <si>
    <t>hudsonjenna@hotmail.com.au</t>
  </si>
  <si>
    <t>+61.478.000.752</t>
  </si>
  <si>
    <t>Pamela Hogan</t>
  </si>
  <si>
    <t>Heather Ballard</t>
  </si>
  <si>
    <t>POL8770972</t>
  </si>
  <si>
    <t>jreyes@yahoo.com.au</t>
  </si>
  <si>
    <t>0423-906-990</t>
  </si>
  <si>
    <t>Chelsea Daugherty</t>
  </si>
  <si>
    <t>Benjamin Reed</t>
  </si>
  <si>
    <t>POL6045213</t>
  </si>
  <si>
    <t>cookjennifer@yahoo.com.au</t>
  </si>
  <si>
    <t>Zachary Cooper</t>
  </si>
  <si>
    <t>Miss Jordan Gutierrez PhD</t>
  </si>
  <si>
    <t>POL9202376</t>
  </si>
  <si>
    <t>annjackson@yahoo.com</t>
  </si>
  <si>
    <t>(07).6838.5624</t>
  </si>
  <si>
    <t>Joseph Mcfarland</t>
  </si>
  <si>
    <t>David Mcknight</t>
  </si>
  <si>
    <t>POL8181574</t>
  </si>
  <si>
    <t>plopez@craig-baird.org.au</t>
  </si>
  <si>
    <t>8198 9382</t>
  </si>
  <si>
    <t>Cheryl Turner</t>
  </si>
  <si>
    <t>Ashley Randall</t>
  </si>
  <si>
    <t>POL6144777</t>
  </si>
  <si>
    <t>fmay@hart.com</t>
  </si>
  <si>
    <t>+61.498.787.141</t>
  </si>
  <si>
    <t>William Jones</t>
  </si>
  <si>
    <t>Craig Joseph DDS</t>
  </si>
  <si>
    <t>POL4909143</t>
  </si>
  <si>
    <t>stevenparker@santiago-mills.org.au</t>
  </si>
  <si>
    <t>Vicki Hale</t>
  </si>
  <si>
    <t>Danielle Walker</t>
  </si>
  <si>
    <t>POL7349810</t>
  </si>
  <si>
    <t>michaelherrera@price.net.au</t>
  </si>
  <si>
    <t>0495-718-451</t>
  </si>
  <si>
    <t>Veronica Ward</t>
  </si>
  <si>
    <t>Paul Baird</t>
  </si>
  <si>
    <t>POL1572450</t>
  </si>
  <si>
    <t>zmiller@hotmail.com</t>
  </si>
  <si>
    <t>08.3976.6943</t>
  </si>
  <si>
    <t>Richard Carpenter Jr.</t>
  </si>
  <si>
    <t>Gregory Mercado</t>
  </si>
  <si>
    <t>POL7773548</t>
  </si>
  <si>
    <t>jeffrey36@yahoo.com</t>
  </si>
  <si>
    <t>Tara Day</t>
  </si>
  <si>
    <t>Matthew Brown</t>
  </si>
  <si>
    <t>POL6411907</t>
  </si>
  <si>
    <t>angela45@paul.org.au</t>
  </si>
  <si>
    <t>+61.8.8158.6837</t>
  </si>
  <si>
    <t>Jack Lynch</t>
  </si>
  <si>
    <t>David Schroeder</t>
  </si>
  <si>
    <t>POL8607223</t>
  </si>
  <si>
    <t>destiny35@yahoo.com</t>
  </si>
  <si>
    <t>0679-5169</t>
  </si>
  <si>
    <t>Timothy Osborne</t>
  </si>
  <si>
    <t>Sean Jacobson</t>
  </si>
  <si>
    <t>POL3060569</t>
  </si>
  <si>
    <t>parkerjoshua@garcia-aguilar.biz</t>
  </si>
  <si>
    <t>2775 1962</t>
  </si>
  <si>
    <t>Stephanie Juarez</t>
  </si>
  <si>
    <t>Jennifer Cook</t>
  </si>
  <si>
    <t>POL2696736</t>
  </si>
  <si>
    <t>edwardallen@yahoo.com.au</t>
  </si>
  <si>
    <t>+61 476 004 016</t>
  </si>
  <si>
    <t>Lori Chapman</t>
  </si>
  <si>
    <t>Audrey Vasquez</t>
  </si>
  <si>
    <t>POL8304953</t>
  </si>
  <si>
    <t>romeromegan@gmail.com</t>
  </si>
  <si>
    <t>(08)47820123</t>
  </si>
  <si>
    <t>Brent Torres MD</t>
  </si>
  <si>
    <t>Kiara Saunders</t>
  </si>
  <si>
    <t>POL7953592</t>
  </si>
  <si>
    <t>michaelwatson@hotmail.com</t>
  </si>
  <si>
    <t>0409.579.799</t>
  </si>
  <si>
    <t>David Pierce</t>
  </si>
  <si>
    <t>Christine Pena</t>
  </si>
  <si>
    <t>POL4413191</t>
  </si>
  <si>
    <t>jerryrhodes@rodriguez.com</t>
  </si>
  <si>
    <t>Anna Martinez</t>
  </si>
  <si>
    <t>Rachel Davies</t>
  </si>
  <si>
    <t>POL7386267</t>
  </si>
  <si>
    <t>clementsvictoria@webster-ramos.com.au</t>
  </si>
  <si>
    <t>0496 821 847</t>
  </si>
  <si>
    <t>Brian Pham</t>
  </si>
  <si>
    <t>Megan Strickland</t>
  </si>
  <si>
    <t>POL8880074</t>
  </si>
  <si>
    <t>proctorjoseph@brown.org</t>
  </si>
  <si>
    <t>4455 3518</t>
  </si>
  <si>
    <t>Jennifer Graham</t>
  </si>
  <si>
    <t>Margaret Stevens</t>
  </si>
  <si>
    <t>POL6115518</t>
  </si>
  <si>
    <t>shiggins@salas-sampson.net</t>
  </si>
  <si>
    <t>Ronnie Stevens</t>
  </si>
  <si>
    <t>Angela Williams DVM</t>
  </si>
  <si>
    <t>POL6225233</t>
  </si>
  <si>
    <t>kim86@merritt.net</t>
  </si>
  <si>
    <t>Patricia Kelly</t>
  </si>
  <si>
    <t>Todd Chase</t>
  </si>
  <si>
    <t>POL6292223</t>
  </si>
  <si>
    <t>julian13@hotmail.com</t>
  </si>
  <si>
    <t>Scott Middleton</t>
  </si>
  <si>
    <t>Joseph Schroeder</t>
  </si>
  <si>
    <t>POL6776272</t>
  </si>
  <si>
    <t>bfrank@yahoo.com</t>
  </si>
  <si>
    <t>07 9835 4558</t>
  </si>
  <si>
    <t>Jason Scott</t>
  </si>
  <si>
    <t>Michael Garrison</t>
  </si>
  <si>
    <t>POL8023794</t>
  </si>
  <si>
    <t>zroberts@white-ross.net.au</t>
  </si>
  <si>
    <t>Brian Baker</t>
  </si>
  <si>
    <t>David Phillips</t>
  </si>
  <si>
    <t>POL2485040</t>
  </si>
  <si>
    <t>stacyvilla@yahoo.com.au</t>
  </si>
  <si>
    <t>(07)-1292-6367</t>
  </si>
  <si>
    <t>Mrs. Monica Hernandez</t>
  </si>
  <si>
    <t>Cynthia Humphrey</t>
  </si>
  <si>
    <t>POL6114365</t>
  </si>
  <si>
    <t>moyercody@yahoo.com.au</t>
  </si>
  <si>
    <t>Thomas Murphy</t>
  </si>
  <si>
    <t>Charles Jacobs</t>
  </si>
  <si>
    <t>POL9914174</t>
  </si>
  <si>
    <t>tammy39@simmons.edu</t>
  </si>
  <si>
    <t>Richard Williams</t>
  </si>
  <si>
    <t>Jacqueline Esparza</t>
  </si>
  <si>
    <t>POL2957037</t>
  </si>
  <si>
    <t>anita03@gmail.com</t>
  </si>
  <si>
    <t>+61.8.0112.7765</t>
  </si>
  <si>
    <t>Ryan Torres</t>
  </si>
  <si>
    <t>Mrs. Diane Marquez MD</t>
  </si>
  <si>
    <t>POL5731459</t>
  </si>
  <si>
    <t>traceygilbert@smith.edu</t>
  </si>
  <si>
    <t>Taylor Simon</t>
  </si>
  <si>
    <t>Mrs. Heather Mathews</t>
  </si>
  <si>
    <t>POL4832688</t>
  </si>
  <si>
    <t>yhernandez@howe-white.edu</t>
  </si>
  <si>
    <t>07-2925-3204</t>
  </si>
  <si>
    <t>Albert Wood</t>
  </si>
  <si>
    <t>Joshua Hutchinson</t>
  </si>
  <si>
    <t>POL2401927</t>
  </si>
  <si>
    <t>marioanderson@hotmail.com.au</t>
  </si>
  <si>
    <t>(08)66638817</t>
  </si>
  <si>
    <t>Cynthia Johnson</t>
  </si>
  <si>
    <t>Mrs. Victoria Moyer</t>
  </si>
  <si>
    <t>POL1387996</t>
  </si>
  <si>
    <t>valentinejeffery@yahoo.com.au</t>
  </si>
  <si>
    <t>Whitney Peters</t>
  </si>
  <si>
    <t>Brittany Fletcher</t>
  </si>
  <si>
    <t>POL7411625</t>
  </si>
  <si>
    <t>lewisnicholas@gmail.com</t>
  </si>
  <si>
    <t>03-9860-8133</t>
  </si>
  <si>
    <t>Lee Aguilar</t>
  </si>
  <si>
    <t>Leonard Wilson</t>
  </si>
  <si>
    <t>POL2172507</t>
  </si>
  <si>
    <t>cummingsheidi@yahoo.com</t>
  </si>
  <si>
    <t>+61 402 272 871</t>
  </si>
  <si>
    <t>Donna Clark</t>
  </si>
  <si>
    <t>Sarah Barry</t>
  </si>
  <si>
    <t>POL5893570</t>
  </si>
  <si>
    <t>holly22@hotmail.com</t>
  </si>
  <si>
    <t>07-6158-3826</t>
  </si>
  <si>
    <t>Michelle Wilson</t>
  </si>
  <si>
    <t>Kevin Green</t>
  </si>
  <si>
    <t>POL5619864</t>
  </si>
  <si>
    <t>colejason@yahoo.com.au</t>
  </si>
  <si>
    <t>0413-365-773</t>
  </si>
  <si>
    <t>Priscilla Haynes</t>
  </si>
  <si>
    <t>Robin Day</t>
  </si>
  <si>
    <t>POL3465372</t>
  </si>
  <si>
    <t>montoyaselena@hotmail.com</t>
  </si>
  <si>
    <t>Noah Allen</t>
  </si>
  <si>
    <t>Matthew Sanders</t>
  </si>
  <si>
    <t>POL7178320</t>
  </si>
  <si>
    <t>lhale@yahoo.com.au</t>
  </si>
  <si>
    <t>Pamela Thomas</t>
  </si>
  <si>
    <t>Andrew Moreno</t>
  </si>
  <si>
    <t>POL3264039</t>
  </si>
  <si>
    <t>bonniemoore@stevens.edu.au</t>
  </si>
  <si>
    <t>+61.499.243.357</t>
  </si>
  <si>
    <t>Jennifer Summers</t>
  </si>
  <si>
    <t>Kevin Bryant</t>
  </si>
  <si>
    <t>POL3729094</t>
  </si>
  <si>
    <t>michael79@yahoo.com</t>
  </si>
  <si>
    <t>Laura Allison</t>
  </si>
  <si>
    <t>Alicia Lee</t>
  </si>
  <si>
    <t>POL6699380</t>
  </si>
  <si>
    <t>matawilliam@yahoo.com</t>
  </si>
  <si>
    <t>08 2619 2541</t>
  </si>
  <si>
    <t>Donna Hoover</t>
  </si>
  <si>
    <t>Kristopher Miller</t>
  </si>
  <si>
    <t>POL8518060</t>
  </si>
  <si>
    <t>uanderson@hotmail.com</t>
  </si>
  <si>
    <t>Robert Bean</t>
  </si>
  <si>
    <t>Elizabeth Mitchell</t>
  </si>
  <si>
    <t>POL2561241</t>
  </si>
  <si>
    <t>lewistravis@santana.edu.au</t>
  </si>
  <si>
    <t>Briana Armstrong</t>
  </si>
  <si>
    <t>Dr. April Douglas</t>
  </si>
  <si>
    <t>POL8633994</t>
  </si>
  <si>
    <t>mariafields@gill.org</t>
  </si>
  <si>
    <t>07-6925-9840</t>
  </si>
  <si>
    <t>Robert Reid</t>
  </si>
  <si>
    <t>Amanda Owen</t>
  </si>
  <si>
    <t>POL5998770</t>
  </si>
  <si>
    <t>joneswilliam@lee.info</t>
  </si>
  <si>
    <t>Melvin Hernandez</t>
  </si>
  <si>
    <t>John Murphy</t>
  </si>
  <si>
    <t>POL2759242</t>
  </si>
  <si>
    <t>karen33@yahoo.com</t>
  </si>
  <si>
    <t>Morgan Davis</t>
  </si>
  <si>
    <t>Timothy Luna</t>
  </si>
  <si>
    <t>POL5749708</t>
  </si>
  <si>
    <t>dudleysteven@burton.edu</t>
  </si>
  <si>
    <t>07 1757 9792</t>
  </si>
  <si>
    <t>Kevin Mitchell</t>
  </si>
  <si>
    <t>Thomas Saunders</t>
  </si>
  <si>
    <t>POL8589248</t>
  </si>
  <si>
    <t>kellymoore@hotmail.com.au</t>
  </si>
  <si>
    <t>(08)33174259</t>
  </si>
  <si>
    <t>Corey Kaiser</t>
  </si>
  <si>
    <t>Monica Faulkner</t>
  </si>
  <si>
    <t>POL3094390</t>
  </si>
  <si>
    <t>trevor59@yahoo.com.au</t>
  </si>
  <si>
    <t>Keith Clark</t>
  </si>
  <si>
    <t>Laura Boone</t>
  </si>
  <si>
    <t>POL7997679</t>
  </si>
  <si>
    <t>gregoryhannah@hotmail.com</t>
  </si>
  <si>
    <t>Alan Dillon</t>
  </si>
  <si>
    <t>Joseph Newman</t>
  </si>
  <si>
    <t>POL1517396</t>
  </si>
  <si>
    <t>mrichards@gmail.com</t>
  </si>
  <si>
    <t>(03) 3235 0221</t>
  </si>
  <si>
    <t>Megan Navarro</t>
  </si>
  <si>
    <t>Elizabeth Osborn</t>
  </si>
  <si>
    <t>POL1071338</t>
  </si>
  <si>
    <t>erin87@gmail.com</t>
  </si>
  <si>
    <t>Jamie Le</t>
  </si>
  <si>
    <t>Mr. Kenneth Bishop</t>
  </si>
  <si>
    <t>POL2021798</t>
  </si>
  <si>
    <t>kkelley@gmail.com</t>
  </si>
  <si>
    <t>07-5986-3641</t>
  </si>
  <si>
    <t>Ryan Cantu</t>
  </si>
  <si>
    <t>Anne Coleman</t>
  </si>
  <si>
    <t>POL9646118</t>
  </si>
  <si>
    <t>susanquinn@yahoo.com</t>
  </si>
  <si>
    <t>(03)-8383-1279</t>
  </si>
  <si>
    <t>Randall Douglas</t>
  </si>
  <si>
    <t>James Hill</t>
  </si>
  <si>
    <t>POL9793207</t>
  </si>
  <si>
    <t>dcarter@martinez.net.au</t>
  </si>
  <si>
    <t>(02).9973.6925</t>
  </si>
  <si>
    <t>Holly Edwards</t>
  </si>
  <si>
    <t>Valerie Mckee</t>
  </si>
  <si>
    <t>POL5161431</t>
  </si>
  <si>
    <t>fgregory@arroyo-turner.info</t>
  </si>
  <si>
    <t>(08)-0699-2314</t>
  </si>
  <si>
    <t>Scott Rowland</t>
  </si>
  <si>
    <t>Mary Villanueva</t>
  </si>
  <si>
    <t>POL4932028</t>
  </si>
  <si>
    <t>qthomas@brown.info</t>
  </si>
  <si>
    <t>7043-4001</t>
  </si>
  <si>
    <t>Margaret Benson</t>
  </si>
  <si>
    <t>Sarah Stewart</t>
  </si>
  <si>
    <t>POL8930674</t>
  </si>
  <si>
    <t>alison74@price.info</t>
  </si>
  <si>
    <t>Daniel Rasmussen</t>
  </si>
  <si>
    <t>Ashley Lindsey</t>
  </si>
  <si>
    <t>POL8872087</t>
  </si>
  <si>
    <t>lisacannon@gmail.com</t>
  </si>
  <si>
    <t>07.9501.2544</t>
  </si>
  <si>
    <t>Becky Dorsey</t>
  </si>
  <si>
    <t>Miguel Wright</t>
  </si>
  <si>
    <t>POL6321209</t>
  </si>
  <si>
    <t>amyanderson@gmail.com</t>
  </si>
  <si>
    <t>03.0603.9879</t>
  </si>
  <si>
    <t>Robert Young</t>
  </si>
  <si>
    <t>POL4251437</t>
  </si>
  <si>
    <t>benjaminshirley@snyder-rowland.org.au</t>
  </si>
  <si>
    <t>0400-245-323</t>
  </si>
  <si>
    <t>Lisa Hamilton</t>
  </si>
  <si>
    <t>Phillip Brown</t>
  </si>
  <si>
    <t>POL1887629</t>
  </si>
  <si>
    <t>angela07@hotmail.com.au</t>
  </si>
  <si>
    <t>Kristina Gonzalez MD</t>
  </si>
  <si>
    <t>Donald Dunn</t>
  </si>
  <si>
    <t>POL4609754</t>
  </si>
  <si>
    <t>stephanie91@gmail.com</t>
  </si>
  <si>
    <t>Rebecca Ross</t>
  </si>
  <si>
    <t>Lindsey Hudson</t>
  </si>
  <si>
    <t>POL5826649</t>
  </si>
  <si>
    <t>colemansusan@hotmail.com</t>
  </si>
  <si>
    <t>(03).2200.4371</t>
  </si>
  <si>
    <t>Ronald Anderson</t>
  </si>
  <si>
    <t>Bryan Davis</t>
  </si>
  <si>
    <t>POL4891625</t>
  </si>
  <si>
    <t>adamjarvis@guzman-bridges.com</t>
  </si>
  <si>
    <t>+61 479 818 268</t>
  </si>
  <si>
    <t>Patrick Bell</t>
  </si>
  <si>
    <t>Kristin Chavez</t>
  </si>
  <si>
    <t>POL1512119</t>
  </si>
  <si>
    <t>jason08@yahoo.com.au</t>
  </si>
  <si>
    <t>(08) 6201 0023</t>
  </si>
  <si>
    <t>James Vasquez</t>
  </si>
  <si>
    <t>David Caldwell</t>
  </si>
  <si>
    <t>POL4446246</t>
  </si>
  <si>
    <t>masonjohn@gmail.com</t>
  </si>
  <si>
    <t>4422 2708</t>
  </si>
  <si>
    <t>Linda Ortiz</t>
  </si>
  <si>
    <t>Linda Russell</t>
  </si>
  <si>
    <t>POL4347080</t>
  </si>
  <si>
    <t>garnerjasmine@hotmail.com</t>
  </si>
  <si>
    <t>Samantha Patton</t>
  </si>
  <si>
    <t>Renee Reese</t>
  </si>
  <si>
    <t>POL7463774</t>
  </si>
  <si>
    <t>tcaldwell@lloyd-harrison.info</t>
  </si>
  <si>
    <t>0495.520.746</t>
  </si>
  <si>
    <t>Alexander Holder</t>
  </si>
  <si>
    <t>Adam Sanchez</t>
  </si>
  <si>
    <t>POL6222899</t>
  </si>
  <si>
    <t>mary97@wilson-turner.org</t>
  </si>
  <si>
    <t>Amanda Smith</t>
  </si>
  <si>
    <t>Bonnie Santiago</t>
  </si>
  <si>
    <t>POL2439383</t>
  </si>
  <si>
    <t>leedanny@yahoo.com</t>
  </si>
  <si>
    <t>Jennifer Ingram</t>
  </si>
  <si>
    <t>Brittany Martinez</t>
  </si>
  <si>
    <t>POL2900803</t>
  </si>
  <si>
    <t>allisonromero@smith-acosta.edu.au</t>
  </si>
  <si>
    <t>0499-478-946</t>
  </si>
  <si>
    <t>Robert Park</t>
  </si>
  <si>
    <t>Kendra Diaz</t>
  </si>
  <si>
    <t>POL2081858</t>
  </si>
  <si>
    <t>phyllis71@hotmail.com</t>
  </si>
  <si>
    <t>3944 9841</t>
  </si>
  <si>
    <t>Mark Baker</t>
  </si>
  <si>
    <t>Tanya Hall</t>
  </si>
  <si>
    <t>POL8488725</t>
  </si>
  <si>
    <t>mcknightjimmy@adams-fitzpatrick.org.au</t>
  </si>
  <si>
    <t>(03).6166.4374</t>
  </si>
  <si>
    <t>Yvonne Terry</t>
  </si>
  <si>
    <t>Erica Daniel</t>
  </si>
  <si>
    <t>POL1619424</t>
  </si>
  <si>
    <t>donna16@hotmail.com</t>
  </si>
  <si>
    <t>(03)-2799-9006</t>
  </si>
  <si>
    <t>Joyce Gilbert</t>
  </si>
  <si>
    <t>James Wilson</t>
  </si>
  <si>
    <t>POL5333578</t>
  </si>
  <si>
    <t>pamela86@garcia.org.au</t>
  </si>
  <si>
    <t>Steven Edwards</t>
  </si>
  <si>
    <t>Jon Smith</t>
  </si>
  <si>
    <t>POL7852309</t>
  </si>
  <si>
    <t>caitlinblair@rose.net</t>
  </si>
  <si>
    <t>0451 605 637</t>
  </si>
  <si>
    <t>Amanda Madden</t>
  </si>
  <si>
    <t>Jared Hancock</t>
  </si>
  <si>
    <t>POL9566534</t>
  </si>
  <si>
    <t>joshuawilliamson@miller.com.au</t>
  </si>
  <si>
    <t>07.6336.7343</t>
  </si>
  <si>
    <t>Robert Garrison</t>
  </si>
  <si>
    <t>Stephen Lyons</t>
  </si>
  <si>
    <t>POL9957199</t>
  </si>
  <si>
    <t>hdrake@gmail.com</t>
  </si>
  <si>
    <t>08.3823.3249</t>
  </si>
  <si>
    <t>Matthew Stone</t>
  </si>
  <si>
    <t>Kristina Mckee</t>
  </si>
  <si>
    <t>POL7329868</t>
  </si>
  <si>
    <t>colekayla@mcgee.com.au</t>
  </si>
  <si>
    <t>Brittany Young</t>
  </si>
  <si>
    <t>Larry Hogan</t>
  </si>
  <si>
    <t>POL7003371</t>
  </si>
  <si>
    <t>cortezneil@yahoo.com</t>
  </si>
  <si>
    <t>Randall Gray</t>
  </si>
  <si>
    <t>Jose Morton</t>
  </si>
  <si>
    <t>POL8345815</t>
  </si>
  <si>
    <t>scottweiss@hotmail.com</t>
  </si>
  <si>
    <t>Kayla Campbell</t>
  </si>
  <si>
    <t>Dr. Gerald Mccann</t>
  </si>
  <si>
    <t>POL8174294</t>
  </si>
  <si>
    <t>brownvalerie@yahoo.com</t>
  </si>
  <si>
    <t>Carolyn Shea</t>
  </si>
  <si>
    <t>Joseph Buchanan</t>
  </si>
  <si>
    <t>POL8628049</t>
  </si>
  <si>
    <t>phillipsthomas@gmail.com</t>
  </si>
  <si>
    <t>Sarah Webb</t>
  </si>
  <si>
    <t>Meghan Taylor</t>
  </si>
  <si>
    <t>POL3715319</t>
  </si>
  <si>
    <t>hillbrad@armstrong-herman.net</t>
  </si>
  <si>
    <t>08 8082 0191</t>
  </si>
  <si>
    <t>Jeffrey Potter</t>
  </si>
  <si>
    <t>Jill Garcia</t>
  </si>
  <si>
    <t>POL8184799</t>
  </si>
  <si>
    <t>karenmurphy@yahoo.com.au</t>
  </si>
  <si>
    <t>Matthew Pearson</t>
  </si>
  <si>
    <t>Heather Sherman</t>
  </si>
  <si>
    <t>POL9329579</t>
  </si>
  <si>
    <t>popezachary@robinson-lopez.net</t>
  </si>
  <si>
    <t>(02)-5358-0385</t>
  </si>
  <si>
    <t>Nicole Shields</t>
  </si>
  <si>
    <t>Wanda Richardson</t>
  </si>
  <si>
    <t>POL7828370</t>
  </si>
  <si>
    <t>tsuarez@martin.com</t>
  </si>
  <si>
    <t>Benjamin Cook</t>
  </si>
  <si>
    <t>Eduardo West</t>
  </si>
  <si>
    <t>POL1430494</t>
  </si>
  <si>
    <t>xlong@harris.biz</t>
  </si>
  <si>
    <t>Leslie Mckinney</t>
  </si>
  <si>
    <t>Deborah Williams</t>
  </si>
  <si>
    <t>POL2559890</t>
  </si>
  <si>
    <t>qpalmer@bullock.org.au</t>
  </si>
  <si>
    <t>0440.473.122</t>
  </si>
  <si>
    <t>Haley Mercado</t>
  </si>
  <si>
    <t>Elizabeth Parks</t>
  </si>
  <si>
    <t>POL7879145</t>
  </si>
  <si>
    <t>cobbbrian@price.org</t>
  </si>
  <si>
    <t>(03) 4150 0029</t>
  </si>
  <si>
    <t>Charles Ross</t>
  </si>
  <si>
    <t>Dawn Wheeler</t>
  </si>
  <si>
    <t>POL3460356</t>
  </si>
  <si>
    <t>egarcia@yahoo.com</t>
  </si>
  <si>
    <t>Jose Moore</t>
  </si>
  <si>
    <t>Brianna Johnston</t>
  </si>
  <si>
    <t>POL9027994</t>
  </si>
  <si>
    <t>cynthiareed@hotmail.com.au</t>
  </si>
  <si>
    <t>0459 582 971</t>
  </si>
  <si>
    <t>Jennifer Allison</t>
  </si>
  <si>
    <t>Jeff Vance</t>
  </si>
  <si>
    <t>POL8940539</t>
  </si>
  <si>
    <t>shelly24@ortega.com.au</t>
  </si>
  <si>
    <t>Julia Clark</t>
  </si>
  <si>
    <t>Tina Allison</t>
  </si>
  <si>
    <t>POL9287715</t>
  </si>
  <si>
    <t>myerschristopher@chandler.net</t>
  </si>
  <si>
    <t>0448.561.746</t>
  </si>
  <si>
    <t>Rebecca Stewart</t>
  </si>
  <si>
    <t>Timothy Hunter</t>
  </si>
  <si>
    <t>POL7720580</t>
  </si>
  <si>
    <t>whitekelsey@york-arias.edu</t>
  </si>
  <si>
    <t>(08)-9283-0169</t>
  </si>
  <si>
    <t>Amy Gonzalez</t>
  </si>
  <si>
    <t>Charles Bullock</t>
  </si>
  <si>
    <t>POL8829964</t>
  </si>
  <si>
    <t>lydia56@kelly-stevens.net</t>
  </si>
  <si>
    <t>0475 019 939</t>
  </si>
  <si>
    <t>Brent Taylor</t>
  </si>
  <si>
    <t>Andrew Robinson</t>
  </si>
  <si>
    <t>POL4918335</t>
  </si>
  <si>
    <t>mdavidson@bradford.info</t>
  </si>
  <si>
    <t>Donna Reeves</t>
  </si>
  <si>
    <t>Cindy Cruz</t>
  </si>
  <si>
    <t>POL6534710</t>
  </si>
  <si>
    <t>elewis@yahoo.com</t>
  </si>
  <si>
    <t>Steven Hunt</t>
  </si>
  <si>
    <t>Christopher Gillespie</t>
  </si>
  <si>
    <t>POL2398590</t>
  </si>
  <si>
    <t>gjones@hotmail.com</t>
  </si>
  <si>
    <t>Natalie Dixon</t>
  </si>
  <si>
    <t>Nicholas Harvey</t>
  </si>
  <si>
    <t>POL8956702</t>
  </si>
  <si>
    <t>christinemccarty@yahoo.com.au</t>
  </si>
  <si>
    <t>Caroline Hopkins</t>
  </si>
  <si>
    <t>Samantha Cook</t>
  </si>
  <si>
    <t>POL8596419</t>
  </si>
  <si>
    <t>zrichardson@yahoo.com.au</t>
  </si>
  <si>
    <t>0449-674-203</t>
  </si>
  <si>
    <t>Garrett Brandt</t>
  </si>
  <si>
    <t>Amanda Edwards</t>
  </si>
  <si>
    <t>POL8098660</t>
  </si>
  <si>
    <t>dana47@washington.info</t>
  </si>
  <si>
    <t>Erik Brown</t>
  </si>
  <si>
    <t>Jeffrey Carpenter</t>
  </si>
  <si>
    <t>POL3926159</t>
  </si>
  <si>
    <t>moniquewalsh@yahoo.com</t>
  </si>
  <si>
    <t>+61.7.4979.2135</t>
  </si>
  <si>
    <t>Pamela Hampton</t>
  </si>
  <si>
    <t>Brenda Trujillo</t>
  </si>
  <si>
    <t>POL6067703</t>
  </si>
  <si>
    <t>thomasjeffrey@robertson.org.au</t>
  </si>
  <si>
    <t>Mary Ross</t>
  </si>
  <si>
    <t>Jesus Fox</t>
  </si>
  <si>
    <t>POL9027015</t>
  </si>
  <si>
    <t>youngelijah@price.info</t>
  </si>
  <si>
    <t>+61 446 064 441</t>
  </si>
  <si>
    <t>Timothy Moody</t>
  </si>
  <si>
    <t>Charles Evans</t>
  </si>
  <si>
    <t>POL6109431</t>
  </si>
  <si>
    <t>angelaharris@yahoo.com</t>
  </si>
  <si>
    <t>03.3500.0644</t>
  </si>
  <si>
    <t>John Martinez</t>
  </si>
  <si>
    <t>Ronald Bishop</t>
  </si>
  <si>
    <t>POL4679894</t>
  </si>
  <si>
    <t>michaeljohnson@yahoo.com.au</t>
  </si>
  <si>
    <t>(08).3796.6354</t>
  </si>
  <si>
    <t>Paula Padilla</t>
  </si>
  <si>
    <t>Garrett Hobbs</t>
  </si>
  <si>
    <t>POL8199877</t>
  </si>
  <si>
    <t>woodtammy@hotmail.com.au</t>
  </si>
  <si>
    <t>0484-5448</t>
  </si>
  <si>
    <t>Sean Lin</t>
  </si>
  <si>
    <t>Mary Hunter</t>
  </si>
  <si>
    <t>POL4687769</t>
  </si>
  <si>
    <t>patricia20@hotmail.com</t>
  </si>
  <si>
    <t>0429 542 825</t>
  </si>
  <si>
    <t>Melissa Rhodes</t>
  </si>
  <si>
    <t>Christopher Lawson</t>
  </si>
  <si>
    <t>POL8893137</t>
  </si>
  <si>
    <t>hannah41@roy.edu</t>
  </si>
  <si>
    <t>0444-099-212</t>
  </si>
  <si>
    <t>Victoria Zuniga</t>
  </si>
  <si>
    <t>Megan Morgan</t>
  </si>
  <si>
    <t>POL4298911</t>
  </si>
  <si>
    <t>gail14@miller-watson.net</t>
  </si>
  <si>
    <t>0492-292-465</t>
  </si>
  <si>
    <t>Francisco Gray</t>
  </si>
  <si>
    <t>Michael Grimes</t>
  </si>
  <si>
    <t>POL2285390</t>
  </si>
  <si>
    <t>gdixon@gmail.com</t>
  </si>
  <si>
    <t>Tracy Williams</t>
  </si>
  <si>
    <t>Dana Malone</t>
  </si>
  <si>
    <t>POL7196622</t>
  </si>
  <si>
    <t>youngmichelle@vega.com</t>
  </si>
  <si>
    <t>Donald Ferguson</t>
  </si>
  <si>
    <t>Rose Contreras</t>
  </si>
  <si>
    <t>POL8445534</t>
  </si>
  <si>
    <t>heather05@gmail.com</t>
  </si>
  <si>
    <t>(03)-8199-2653</t>
  </si>
  <si>
    <t>Renee Ramos</t>
  </si>
  <si>
    <t>Natalie Sloan</t>
  </si>
  <si>
    <t>POL3903130</t>
  </si>
  <si>
    <t>lmartin@yahoo.com.au</t>
  </si>
  <si>
    <t>(08) 3523 6564</t>
  </si>
  <si>
    <t>David Wallace</t>
  </si>
  <si>
    <t>Marcus Martinez</t>
  </si>
  <si>
    <t>POL7707330</t>
  </si>
  <si>
    <t>langjacob@gmail.com</t>
  </si>
  <si>
    <t>Katherine Patel</t>
  </si>
  <si>
    <t>Casey Valencia</t>
  </si>
  <si>
    <t>POL6569313</t>
  </si>
  <si>
    <t>thompsonlynn@yahoo.com.au</t>
  </si>
  <si>
    <t>+61.435.399.704</t>
  </si>
  <si>
    <t>Jacob Saunders</t>
  </si>
  <si>
    <t>Ryan Farmer</t>
  </si>
  <si>
    <t>POL9409949</t>
  </si>
  <si>
    <t>wmaxwell@gmail.com</t>
  </si>
  <si>
    <t>Cody Smith</t>
  </si>
  <si>
    <t>April Hoffman</t>
  </si>
  <si>
    <t>POL3531253</t>
  </si>
  <si>
    <t>rweber@gmail.com</t>
  </si>
  <si>
    <t>(03)-9396-3400</t>
  </si>
  <si>
    <t>Sydney Stephens</t>
  </si>
  <si>
    <t>David Ramsey</t>
  </si>
  <si>
    <t>POL3545986</t>
  </si>
  <si>
    <t>campostammy@gmail.com</t>
  </si>
  <si>
    <t>+61 436 608 996</t>
  </si>
  <si>
    <t>Michelle Fisher</t>
  </si>
  <si>
    <t>James Johnson PhD</t>
  </si>
  <si>
    <t>POL4693632</t>
  </si>
  <si>
    <t>bakeranthony@hotmail.com.au</t>
  </si>
  <si>
    <t>+61.427.564.404</t>
  </si>
  <si>
    <t>Melanie Gomez</t>
  </si>
  <si>
    <t>Jacob Mccarthy</t>
  </si>
  <si>
    <t>POL2833700</t>
  </si>
  <si>
    <t>nicole59@yahoo.com.au</t>
  </si>
  <si>
    <t>0421-254-049</t>
  </si>
  <si>
    <t>Jody Brown</t>
  </si>
  <si>
    <t>Eugene Arroyo</t>
  </si>
  <si>
    <t>POL3879044</t>
  </si>
  <si>
    <t>browndavid@alexander-hill.com</t>
  </si>
  <si>
    <t>+61.8.8202.9255</t>
  </si>
  <si>
    <t>Jeremy Mendoza</t>
  </si>
  <si>
    <t>Tara Nelson</t>
  </si>
  <si>
    <t>POL3780165</t>
  </si>
  <si>
    <t>michelle09@thompson.org.au</t>
  </si>
  <si>
    <t>0473.184.910</t>
  </si>
  <si>
    <t>Douglas Benitez</t>
  </si>
  <si>
    <t>Adam Roberts</t>
  </si>
  <si>
    <t>POL7846560</t>
  </si>
  <si>
    <t>mgeorge@hill-harmon.info</t>
  </si>
  <si>
    <t>Ashley Hammond</t>
  </si>
  <si>
    <t>Francisco Murphy</t>
  </si>
  <si>
    <t>POL3094895</t>
  </si>
  <si>
    <t>ronaldhorton@yahoo.com</t>
  </si>
  <si>
    <t>(03)95883610</t>
  </si>
  <si>
    <t>Patricia Choi</t>
  </si>
  <si>
    <t>Crystal Reed</t>
  </si>
  <si>
    <t>POL6996911</t>
  </si>
  <si>
    <t>wthompson@hotmail.com</t>
  </si>
  <si>
    <t>08 6946 0523</t>
  </si>
  <si>
    <t>Wanda Bradshaw</t>
  </si>
  <si>
    <t>Tamara Brewer</t>
  </si>
  <si>
    <t>POL7015933</t>
  </si>
  <si>
    <t>kellischwartz@robbins-larson.org</t>
  </si>
  <si>
    <t>Paul Williamson</t>
  </si>
  <si>
    <t>Sarah Ross</t>
  </si>
  <si>
    <t>POL1650806</t>
  </si>
  <si>
    <t>lkim@ryan-lynch.edu.au</t>
  </si>
  <si>
    <t>Abigail Stuart</t>
  </si>
  <si>
    <t>Andrew Mclean</t>
  </si>
  <si>
    <t>POL8502783</t>
  </si>
  <si>
    <t>ygarcia@gmail.com</t>
  </si>
  <si>
    <t>(03)73277270</t>
  </si>
  <si>
    <t>Jordan Hensley</t>
  </si>
  <si>
    <t>Aaron Eaton</t>
  </si>
  <si>
    <t>POL1474553</t>
  </si>
  <si>
    <t>rmassey@padilla.net</t>
  </si>
  <si>
    <t>+61 2 1449 2523</t>
  </si>
  <si>
    <t>Brenda Becker</t>
  </si>
  <si>
    <t>Mckenzie Wolfe</t>
  </si>
  <si>
    <t>POL4976599</t>
  </si>
  <si>
    <t>psmith@thompson-hess.org</t>
  </si>
  <si>
    <t>9531-4813</t>
  </si>
  <si>
    <t>Melissa Holland</t>
  </si>
  <si>
    <t>Debra Garcia</t>
  </si>
  <si>
    <t>POL1663742</t>
  </si>
  <si>
    <t>vsingh@lopez.biz</t>
  </si>
  <si>
    <t>07-0907-6140</t>
  </si>
  <si>
    <t>Erica Ross</t>
  </si>
  <si>
    <t>Julian Strickland</t>
  </si>
  <si>
    <t>POL4566541</t>
  </si>
  <si>
    <t>stephensrobert@hotmail.com.au</t>
  </si>
  <si>
    <t>+61 3 9347 8895</t>
  </si>
  <si>
    <t>Theresa Fowler</t>
  </si>
  <si>
    <t>Leah Elliott</t>
  </si>
  <si>
    <t>POL9914738</t>
  </si>
  <si>
    <t>flowersheidi@williams.net</t>
  </si>
  <si>
    <t>9695 3332</t>
  </si>
  <si>
    <t>Katrina Gomez</t>
  </si>
  <si>
    <t>Jackie Johnson</t>
  </si>
  <si>
    <t>POL2016227</t>
  </si>
  <si>
    <t>scottstacie@allen.com.au</t>
  </si>
  <si>
    <t>+61 8 7437 2680</t>
  </si>
  <si>
    <t>Justin Romero</t>
  </si>
  <si>
    <t>Devin Robles</t>
  </si>
  <si>
    <t>POL6817067</t>
  </si>
  <si>
    <t>jamesroth@gallegos.com</t>
  </si>
  <si>
    <t>+61.432.774.455</t>
  </si>
  <si>
    <t>Kevin Jordan</t>
  </si>
  <si>
    <t>Cynthia Joseph</t>
  </si>
  <si>
    <t>POL1980976</t>
  </si>
  <si>
    <t>scott92@tate.org</t>
  </si>
  <si>
    <t>Susan Lin</t>
  </si>
  <si>
    <t>Beth Mcclain</t>
  </si>
  <si>
    <t>POL7748894</t>
  </si>
  <si>
    <t>tinarobbins@hotmail.com.au</t>
  </si>
  <si>
    <t>(07).2715.0700</t>
  </si>
  <si>
    <t>Phillip Hernandez</t>
  </si>
  <si>
    <t>Louis Davis</t>
  </si>
  <si>
    <t>POL2861360</t>
  </si>
  <si>
    <t>alicia63@hotmail.com</t>
  </si>
  <si>
    <t>Stacy Schwartz</t>
  </si>
  <si>
    <t>Tracy Kelly</t>
  </si>
  <si>
    <t>POL1386081</t>
  </si>
  <si>
    <t>ksmith@morgan.net.au</t>
  </si>
  <si>
    <t>Ian Watkins</t>
  </si>
  <si>
    <t>Dean Wong</t>
  </si>
  <si>
    <t>POL9302343</t>
  </si>
  <si>
    <t>elizabethsoto@hotmail.com.au</t>
  </si>
  <si>
    <t>(03)28030430</t>
  </si>
  <si>
    <t>Nicole Padilla</t>
  </si>
  <si>
    <t>Misty Vaughn DDS</t>
  </si>
  <si>
    <t>POL3522133</t>
  </si>
  <si>
    <t>brittanytorres@gmail.com</t>
  </si>
  <si>
    <t>0409 800 268</t>
  </si>
  <si>
    <t>Melissa Foster</t>
  </si>
  <si>
    <t>Katherine Chavez</t>
  </si>
  <si>
    <t>POL3521785</t>
  </si>
  <si>
    <t>stephaniefriedman@hotmail.com.au</t>
  </si>
  <si>
    <t>0424 745 118</t>
  </si>
  <si>
    <t>Mr. Troy Martin</t>
  </si>
  <si>
    <t>Kathy Watkins</t>
  </si>
  <si>
    <t>POL9942758</t>
  </si>
  <si>
    <t>phillipsbradley@yahoo.com</t>
  </si>
  <si>
    <t>Tyler Carter</t>
  </si>
  <si>
    <t>Dawn Brown</t>
  </si>
  <si>
    <t>POL8776567</t>
  </si>
  <si>
    <t>angela01@armstrong.edu.au</t>
  </si>
  <si>
    <t>Gabriela Mclaughlin</t>
  </si>
  <si>
    <t>Lawrence Padilla</t>
  </si>
  <si>
    <t>POL5760369</t>
  </si>
  <si>
    <t>udennis@christensen-baxter.info</t>
  </si>
  <si>
    <t>Dr. Paul Fischer MD</t>
  </si>
  <si>
    <t>Stephen Hernandez</t>
  </si>
  <si>
    <t>POL9135413</t>
  </si>
  <si>
    <t>cheryl03@hotmail.com</t>
  </si>
  <si>
    <t>(07) 5349 4455</t>
  </si>
  <si>
    <t>Donald Mitchell</t>
  </si>
  <si>
    <t>Jose Mcdonald</t>
  </si>
  <si>
    <t>POL4061230</t>
  </si>
  <si>
    <t>mark45@valdez.net.au</t>
  </si>
  <si>
    <t>0427.719.204</t>
  </si>
  <si>
    <t>Garrett Wall</t>
  </si>
  <si>
    <t>Ann Chen</t>
  </si>
  <si>
    <t>POL1550762</t>
  </si>
  <si>
    <t>lisabrock@baker.com</t>
  </si>
  <si>
    <t>3235-0140</t>
  </si>
  <si>
    <t>David Walker</t>
  </si>
  <si>
    <t>Lisa Flores</t>
  </si>
  <si>
    <t>POL9363848</t>
  </si>
  <si>
    <t>zdurham@williams-thompson.biz</t>
  </si>
  <si>
    <t>(02).8609.3947</t>
  </si>
  <si>
    <t>Susan Johnson</t>
  </si>
  <si>
    <t>POL1319853</t>
  </si>
  <si>
    <t>tsanders@yahoo.com.au</t>
  </si>
  <si>
    <t>0428.762.049</t>
  </si>
  <si>
    <t>Jose Vasquez</t>
  </si>
  <si>
    <t>Gregory Novak</t>
  </si>
  <si>
    <t>POL2730396</t>
  </si>
  <si>
    <t>pattersonjoseph@ramirez.edu.au</t>
  </si>
  <si>
    <t>(08).7055.4907</t>
  </si>
  <si>
    <t>Heidi Cook</t>
  </si>
  <si>
    <t>Megan Mendez</t>
  </si>
  <si>
    <t>POL1325991</t>
  </si>
  <si>
    <t>jameswilson@bell-mendoza.org.au</t>
  </si>
  <si>
    <t>(08)-9630-5009</t>
  </si>
  <si>
    <t>Suzanne Butler</t>
  </si>
  <si>
    <t>Amanda Davis</t>
  </si>
  <si>
    <t>POL3729233</t>
  </si>
  <si>
    <t>kayla00@yahoo.com.au</t>
  </si>
  <si>
    <t>+61 7 1660 6990</t>
  </si>
  <si>
    <t>George Velasquez</t>
  </si>
  <si>
    <t>Darryl Carey</t>
  </si>
  <si>
    <t>POL2094792</t>
  </si>
  <si>
    <t>hodgesalexander@gmail.com</t>
  </si>
  <si>
    <t>(03)-3517-4640</t>
  </si>
  <si>
    <t>Jeremy Barnes</t>
  </si>
  <si>
    <t>David Kelly</t>
  </si>
  <si>
    <t>POL7769468</t>
  </si>
  <si>
    <t>yallen@garcia.com</t>
  </si>
  <si>
    <t>0463-061-764</t>
  </si>
  <si>
    <t>Kenneth Alvarado</t>
  </si>
  <si>
    <t>Isaac Martin</t>
  </si>
  <si>
    <t>POL9260094</t>
  </si>
  <si>
    <t>isimpson@boone-nguyen.com</t>
  </si>
  <si>
    <t>+61.441.033.113</t>
  </si>
  <si>
    <t>Alexander Smith</t>
  </si>
  <si>
    <t>Alicia Caldwell</t>
  </si>
  <si>
    <t>POL8780442</t>
  </si>
  <si>
    <t>trowland@gmail.com</t>
  </si>
  <si>
    <t>Brian Smith</t>
  </si>
  <si>
    <t>Robert Simpson</t>
  </si>
  <si>
    <t>POL1915901</t>
  </si>
  <si>
    <t>stephaniewaters@hotmail.com.au</t>
  </si>
  <si>
    <t>07 1050 5291</t>
  </si>
  <si>
    <t>Christopher Brewer</t>
  </si>
  <si>
    <t>Patrick Wilson</t>
  </si>
  <si>
    <t>POL5903548</t>
  </si>
  <si>
    <t>ggraham@roberts.biz</t>
  </si>
  <si>
    <t>(03).8527.5335</t>
  </si>
  <si>
    <t>Bradley Vargas</t>
  </si>
  <si>
    <t>Tyler Holder</t>
  </si>
  <si>
    <t>POL1043437</t>
  </si>
  <si>
    <t>amanda70@yahoo.com</t>
  </si>
  <si>
    <t>+61 3 5735 8449</t>
  </si>
  <si>
    <t>Julie Wells</t>
  </si>
  <si>
    <t>Timothy Love</t>
  </si>
  <si>
    <t>POL5369383</t>
  </si>
  <si>
    <t>alexisramirez@wilkins.com.au</t>
  </si>
  <si>
    <t>+61.435.367.643</t>
  </si>
  <si>
    <t>Sara Becker</t>
  </si>
  <si>
    <t>Mary Carter</t>
  </si>
  <si>
    <t>POL1365131</t>
  </si>
  <si>
    <t>marieanderson@hotmail.com.au</t>
  </si>
  <si>
    <t>John Chung</t>
  </si>
  <si>
    <t>Laurie Jefferson</t>
  </si>
  <si>
    <t>POL3912768</t>
  </si>
  <si>
    <t>jonesbenjamin@johnson.edu.au</t>
  </si>
  <si>
    <t>+61 7 4336 6334</t>
  </si>
  <si>
    <t>James Nelson</t>
  </si>
  <si>
    <t>Michele Hamilton</t>
  </si>
  <si>
    <t>POL1373884</t>
  </si>
  <si>
    <t>laurafox@white.org</t>
  </si>
  <si>
    <t>9204-1950</t>
  </si>
  <si>
    <t>Michelle Moore</t>
  </si>
  <si>
    <t>Heather Lawrence</t>
  </si>
  <si>
    <t>POL5778034</t>
  </si>
  <si>
    <t>smithwillie@bartlett-ford.net</t>
  </si>
  <si>
    <t>Michelle Lloyd</t>
  </si>
  <si>
    <t>Sarah Griffin</t>
  </si>
  <si>
    <t>POL1931592</t>
  </si>
  <si>
    <t>jeremy53@yahoo.com.au</t>
  </si>
  <si>
    <t>08-3008-8171</t>
  </si>
  <si>
    <t>John Moore</t>
  </si>
  <si>
    <t>Lauren Morse</t>
  </si>
  <si>
    <t>POL7115697</t>
  </si>
  <si>
    <t>arnoldcarlos@yahoo.com</t>
  </si>
  <si>
    <t>5244-5476</t>
  </si>
  <si>
    <t>Sandy Hernandez</t>
  </si>
  <si>
    <t>Taylor Dominguez</t>
  </si>
  <si>
    <t>POL1396875</t>
  </si>
  <si>
    <t>zshaw@williams.net.au</t>
  </si>
  <si>
    <t>Kaitlyn Ruiz</t>
  </si>
  <si>
    <t>Karen Patton</t>
  </si>
  <si>
    <t>POL5169544</t>
  </si>
  <si>
    <t>catherinekim@hotmail.com.au</t>
  </si>
  <si>
    <t>(03).5105.1998</t>
  </si>
  <si>
    <t>Karen Cox</t>
  </si>
  <si>
    <t>David Morris</t>
  </si>
  <si>
    <t>POL6757248</t>
  </si>
  <si>
    <t>uporter@gmail.com</t>
  </si>
  <si>
    <t>02 9427 4029</t>
  </si>
  <si>
    <t>Angel Nguyen</t>
  </si>
  <si>
    <t>POL6383937</t>
  </si>
  <si>
    <t>gilmoreashley@yahoo.com</t>
  </si>
  <si>
    <t>+61.466.966.144</t>
  </si>
  <si>
    <t>Stuart Miller</t>
  </si>
  <si>
    <t>Linda Baxter</t>
  </si>
  <si>
    <t>POL9881652</t>
  </si>
  <si>
    <t>krivera@hotmail.com</t>
  </si>
  <si>
    <t>Leslie Jordan</t>
  </si>
  <si>
    <t>Noah Pruitt</t>
  </si>
  <si>
    <t>POL1668627</t>
  </si>
  <si>
    <t>kerry33@black.org.au</t>
  </si>
  <si>
    <t>Suzanne Perry</t>
  </si>
  <si>
    <t>Ashley Cole PhD</t>
  </si>
  <si>
    <t>POL3500596</t>
  </si>
  <si>
    <t>millerrobert@forbes-martin.info</t>
  </si>
  <si>
    <t>(07)-8588-0050</t>
  </si>
  <si>
    <t>Jennifer Thomas</t>
  </si>
  <si>
    <t>Katherine Sullivan</t>
  </si>
  <si>
    <t>POL4232758</t>
  </si>
  <si>
    <t>ojones@ross.com.au</t>
  </si>
  <si>
    <t>08 1478 3335</t>
  </si>
  <si>
    <t>Dustin Kim</t>
  </si>
  <si>
    <t>Deanna Riley</t>
  </si>
  <si>
    <t>POL2745011</t>
  </si>
  <si>
    <t>cjohnson@miller-gibson.org</t>
  </si>
  <si>
    <t>+61.2.8223.7887</t>
  </si>
  <si>
    <t>Desiree Barrett</t>
  </si>
  <si>
    <t>Jesus Taylor</t>
  </si>
  <si>
    <t>POL9390750</t>
  </si>
  <si>
    <t>kellerkaren@lambert-garcia.org.au</t>
  </si>
  <si>
    <t>Alyssa Marsh</t>
  </si>
  <si>
    <t>Mr. Bradley Salas PhD</t>
  </si>
  <si>
    <t>POL9734307</t>
  </si>
  <si>
    <t>estradanicholas@kane.net</t>
  </si>
  <si>
    <t>Lisa Cunningham</t>
  </si>
  <si>
    <t>Alexandra Shepard</t>
  </si>
  <si>
    <t>POL7222050</t>
  </si>
  <si>
    <t>vlewis@hotmail.com</t>
  </si>
  <si>
    <t>03.7462.4142</t>
  </si>
  <si>
    <t>Harold Harrison</t>
  </si>
  <si>
    <t>Ashley Guzman</t>
  </si>
  <si>
    <t>POL3881692</t>
  </si>
  <si>
    <t>hernandezlogan@adkins.com</t>
  </si>
  <si>
    <t>Samantha Fuentes</t>
  </si>
  <si>
    <t>Erin Powell</t>
  </si>
  <si>
    <t>POL9411451</t>
  </si>
  <si>
    <t>mccluremegan@wiley-bradley.net.au</t>
  </si>
  <si>
    <t>(03)81672088</t>
  </si>
  <si>
    <t>Mrs. Emily Ross</t>
  </si>
  <si>
    <t>Christopher Travis</t>
  </si>
  <si>
    <t>POL4066943</t>
  </si>
  <si>
    <t>debra24@hotmail.com</t>
  </si>
  <si>
    <t>Tammy Pope</t>
  </si>
  <si>
    <t>Donald Turner</t>
  </si>
  <si>
    <t>POL5069887</t>
  </si>
  <si>
    <t>bbaldwin@combs.org</t>
  </si>
  <si>
    <t>03 7421 3728</t>
  </si>
  <si>
    <t>Jose Hutchinson</t>
  </si>
  <si>
    <t>Savannah Mckinney</t>
  </si>
  <si>
    <t>POL2698257</t>
  </si>
  <si>
    <t>angelabrown@cummings.com.au</t>
  </si>
  <si>
    <t>07.0601.7050</t>
  </si>
  <si>
    <t>Victor Pope</t>
  </si>
  <si>
    <t>Donna Torres</t>
  </si>
  <si>
    <t>POL2673037</t>
  </si>
  <si>
    <t>hermanmichael@mayer-griffin.edu.au</t>
  </si>
  <si>
    <t>(08)64850486</t>
  </si>
  <si>
    <t>Peter Warren</t>
  </si>
  <si>
    <t>Samantha Delgado</t>
  </si>
  <si>
    <t>POL2569895</t>
  </si>
  <si>
    <t>rogersjennifer@bolton-wells.com</t>
  </si>
  <si>
    <t>0487-171-616</t>
  </si>
  <si>
    <t>Alexander Calderon</t>
  </si>
  <si>
    <t>Alexander Ayala</t>
  </si>
  <si>
    <t>POL7968727</t>
  </si>
  <si>
    <t>debra42@hotmail.com</t>
  </si>
  <si>
    <t>+61 2 5724 4456</t>
  </si>
  <si>
    <t>Scott Williams</t>
  </si>
  <si>
    <t>Tanner Wiley</t>
  </si>
  <si>
    <t>POL2304417</t>
  </si>
  <si>
    <t>eileen85@green.edu</t>
  </si>
  <si>
    <t>+61.420.023.262</t>
  </si>
  <si>
    <t>Sandy Miller</t>
  </si>
  <si>
    <t>Ethan Stewart</t>
  </si>
  <si>
    <t>POL6945402</t>
  </si>
  <si>
    <t>ruizrachel@yahoo.com.au</t>
  </si>
  <si>
    <t>Ryan Howard</t>
  </si>
  <si>
    <t>Shelly Mitchell</t>
  </si>
  <si>
    <t>POL8710584</t>
  </si>
  <si>
    <t>quinnsteven@ward-garcia.org.au</t>
  </si>
  <si>
    <t>(07) 2900 1952</t>
  </si>
  <si>
    <t>Zachary Smith</t>
  </si>
  <si>
    <t>POL9072979</t>
  </si>
  <si>
    <t>joyce73@sellers-schneider.info</t>
  </si>
  <si>
    <t>Heather Dillon</t>
  </si>
  <si>
    <t>Phillip Stephens</t>
  </si>
  <si>
    <t>POL3418659</t>
  </si>
  <si>
    <t>raven84@hotmail.com.au</t>
  </si>
  <si>
    <t>Omar Moreno</t>
  </si>
  <si>
    <t>Shawn Sellers</t>
  </si>
  <si>
    <t>POL7823173</t>
  </si>
  <si>
    <t>iorozco@gmail.com</t>
  </si>
  <si>
    <t>Justin Vasquez</t>
  </si>
  <si>
    <t>Bonnie Oneill</t>
  </si>
  <si>
    <t>POL8668278</t>
  </si>
  <si>
    <t>courtneylewis@lee.org</t>
  </si>
  <si>
    <t>Allen Price</t>
  </si>
  <si>
    <t>David Combs</t>
  </si>
  <si>
    <t>POL6722664</t>
  </si>
  <si>
    <t>adixon@yahoo.com</t>
  </si>
  <si>
    <t>(02)72090278</t>
  </si>
  <si>
    <t>Timothy Rhodes</t>
  </si>
  <si>
    <t>Linda Park</t>
  </si>
  <si>
    <t>POL6953521</t>
  </si>
  <si>
    <t>michaelfisher@yahoo.com.au</t>
  </si>
  <si>
    <t>08-6731-0466</t>
  </si>
  <si>
    <t>Lauren Powers</t>
  </si>
  <si>
    <t>Matthew Carrillo</t>
  </si>
  <si>
    <t>POL1908834</t>
  </si>
  <si>
    <t>jparker@simpson.edu.au</t>
  </si>
  <si>
    <t>0406 357 403</t>
  </si>
  <si>
    <t>Kathryn Patterson</t>
  </si>
  <si>
    <t>Carrie Bishop</t>
  </si>
  <si>
    <t>POL3444485</t>
  </si>
  <si>
    <t>gilbertallen@gmail.com</t>
  </si>
  <si>
    <t>Amanda White DVM</t>
  </si>
  <si>
    <t>Jamie Weaver</t>
  </si>
  <si>
    <t>POL3501439</t>
  </si>
  <si>
    <t>rhopkins@gmail.com</t>
  </si>
  <si>
    <t>0428-657-191</t>
  </si>
  <si>
    <t>Erica Nelson</t>
  </si>
  <si>
    <t>Brandon Thomas PhD</t>
  </si>
  <si>
    <t>POL2122479</t>
  </si>
  <si>
    <t>jordanedwin@frey.net</t>
  </si>
  <si>
    <t>(08)96005779</t>
  </si>
  <si>
    <t>Marco Chambers</t>
  </si>
  <si>
    <t>Ryan Scott</t>
  </si>
  <si>
    <t>POL9517725</t>
  </si>
  <si>
    <t>smithjoseph@gmail.com</t>
  </si>
  <si>
    <t>4758 3803</t>
  </si>
  <si>
    <t>Candace Golden</t>
  </si>
  <si>
    <t>Courtney Miller</t>
  </si>
  <si>
    <t>POL4028001</t>
  </si>
  <si>
    <t>reedjoyce@gmail.com</t>
  </si>
  <si>
    <t>+61.448.818.375</t>
  </si>
  <si>
    <t>Erin Ruiz</t>
  </si>
  <si>
    <t>Rachel Gonzales</t>
  </si>
  <si>
    <t>POL6355772</t>
  </si>
  <si>
    <t>sharongarcia@yahoo.com</t>
  </si>
  <si>
    <t>03 8458 0800</t>
  </si>
  <si>
    <t>Deborah Dean</t>
  </si>
  <si>
    <t>Joshua Davis</t>
  </si>
  <si>
    <t>POL9237312</t>
  </si>
  <si>
    <t>derek76@townsend.com.au</t>
  </si>
  <si>
    <t>Lindsay Miller</t>
  </si>
  <si>
    <t>Crystal Montoya</t>
  </si>
  <si>
    <t>POL3259472</t>
  </si>
  <si>
    <t>avilatodd@yahoo.com</t>
  </si>
  <si>
    <t>+61 7 7740 6941</t>
  </si>
  <si>
    <t>Robin Armstrong</t>
  </si>
  <si>
    <t>Nicole Mills</t>
  </si>
  <si>
    <t>POL3677620</t>
  </si>
  <si>
    <t>hhopkins@dougherty-nguyen.edu.au</t>
  </si>
  <si>
    <t>Michelle Buckley</t>
  </si>
  <si>
    <t>Jodi Ryan</t>
  </si>
  <si>
    <t>POL3177785</t>
  </si>
  <si>
    <t>owilson@hotmail.com.au</t>
  </si>
  <si>
    <t>Regina Rowe</t>
  </si>
  <si>
    <t>Brian Eaton</t>
  </si>
  <si>
    <t>POL3175769</t>
  </si>
  <si>
    <t>laura47@thomas-torres.edu.au</t>
  </si>
  <si>
    <t>0441 841 102</t>
  </si>
  <si>
    <t>Shelly Lynch</t>
  </si>
  <si>
    <t>Jason Tucker</t>
  </si>
  <si>
    <t>POL9815658</t>
  </si>
  <si>
    <t>vcooper@gmail.com</t>
  </si>
  <si>
    <t>+61 2 0311 4674</t>
  </si>
  <si>
    <t>Stephanie Owen</t>
  </si>
  <si>
    <t>Gwendolyn Jones</t>
  </si>
  <si>
    <t>POL7898774</t>
  </si>
  <si>
    <t>mary28@graves-reilly.info</t>
  </si>
  <si>
    <t>02 3534 0357</t>
  </si>
  <si>
    <t>Natalie Adkins</t>
  </si>
  <si>
    <t>Suzanne Reyes</t>
  </si>
  <si>
    <t>POL3394306</t>
  </si>
  <si>
    <t>sarahzavala@gmail.com</t>
  </si>
  <si>
    <t>03.8805.5268</t>
  </si>
  <si>
    <t>Becky Coleman</t>
  </si>
  <si>
    <t>Daniel Bond</t>
  </si>
  <si>
    <t>POL6127989</t>
  </si>
  <si>
    <t>kimdanny@pham.net.au</t>
  </si>
  <si>
    <t>0442-873-798</t>
  </si>
  <si>
    <t>Jennifer Walker</t>
  </si>
  <si>
    <t>Jacqueline Cardenas</t>
  </si>
  <si>
    <t>POL3613288</t>
  </si>
  <si>
    <t>csmith@simmons.biz</t>
  </si>
  <si>
    <t>0716 7546</t>
  </si>
  <si>
    <t>Brian Meyers</t>
  </si>
  <si>
    <t>Dr. Riley Meadows</t>
  </si>
  <si>
    <t>POL5708932</t>
  </si>
  <si>
    <t>victoria82@hotmail.com</t>
  </si>
  <si>
    <t>+61.3.0349.6927</t>
  </si>
  <si>
    <t>Nicholas Turner DVM</t>
  </si>
  <si>
    <t>Lori Johnson</t>
  </si>
  <si>
    <t>POL6355479</t>
  </si>
  <si>
    <t>gstewart@ross.edu</t>
  </si>
  <si>
    <t>08-0220-7646</t>
  </si>
  <si>
    <t>David Murphy</t>
  </si>
  <si>
    <t>James Chavez</t>
  </si>
  <si>
    <t>POL6924280</t>
  </si>
  <si>
    <t>garycaldwell@cameron-meza.org.au</t>
  </si>
  <si>
    <t>(03).0185.3343</t>
  </si>
  <si>
    <t>William Rodriguez</t>
  </si>
  <si>
    <t>Ronald Higgins DDS</t>
  </si>
  <si>
    <t>POL4938519</t>
  </si>
  <si>
    <t>florescaitlin@yahoo.com.au</t>
  </si>
  <si>
    <t>0418.797.683</t>
  </si>
  <si>
    <t>Tasha Hill</t>
  </si>
  <si>
    <t>Christopher Ford</t>
  </si>
  <si>
    <t>POL5938793</t>
  </si>
  <si>
    <t>avazquez@hotmail.com.au</t>
  </si>
  <si>
    <t>Jordan Lopez</t>
  </si>
  <si>
    <t>Douglas Moore</t>
  </si>
  <si>
    <t>POL2983518</t>
  </si>
  <si>
    <t>wjones@ewing.edu.au</t>
  </si>
  <si>
    <t>(08)33346690</t>
  </si>
  <si>
    <t>Julie Rice</t>
  </si>
  <si>
    <t>Marie Rivera</t>
  </si>
  <si>
    <t>POL3496713</t>
  </si>
  <si>
    <t>hbutler@floyd-taylor.org</t>
  </si>
  <si>
    <t>+61 7 3958 2840</t>
  </si>
  <si>
    <t>Caroline Hoffman</t>
  </si>
  <si>
    <t>Charles Hayes</t>
  </si>
  <si>
    <t>POL8051913</t>
  </si>
  <si>
    <t>erivera@byrd.edu.au</t>
  </si>
  <si>
    <t>Amber Jackson</t>
  </si>
  <si>
    <t>James Perry</t>
  </si>
  <si>
    <t>POL9181656</t>
  </si>
  <si>
    <t>georgeburton@yahoo.com.au</t>
  </si>
  <si>
    <t>(07)-3146-3375</t>
  </si>
  <si>
    <t>Charles Rivera</t>
  </si>
  <si>
    <t>Larry Martinez</t>
  </si>
  <si>
    <t>POL6034556</t>
  </si>
  <si>
    <t>sandrarogers@yahoo.com.au</t>
  </si>
  <si>
    <t>Charlotte Grant</t>
  </si>
  <si>
    <t>Mark Turner</t>
  </si>
  <si>
    <t>POL1399787</t>
  </si>
  <si>
    <t>turnerrobert@mccall-valdez.org.au</t>
  </si>
  <si>
    <t>0418 941 784</t>
  </si>
  <si>
    <t>Patricia Lynch</t>
  </si>
  <si>
    <t>Marie Thompson</t>
  </si>
  <si>
    <t>POL4512027</t>
  </si>
  <si>
    <t>vmills@hotmail.com</t>
  </si>
  <si>
    <t>Edwin Cohen</t>
  </si>
  <si>
    <t>Joseph Bryant</t>
  </si>
  <si>
    <t>POL2185384</t>
  </si>
  <si>
    <t>taylor17@hotmail.com.au</t>
  </si>
  <si>
    <t>+61 487 190 766</t>
  </si>
  <si>
    <t>Kenneth Williams</t>
  </si>
  <si>
    <t>Michelle Williams</t>
  </si>
  <si>
    <t>POL4022910</t>
  </si>
  <si>
    <t>kimvalerie@harrison.org</t>
  </si>
  <si>
    <t>(08)78743531</t>
  </si>
  <si>
    <t>Dakota Mcguire</t>
  </si>
  <si>
    <t>Mark Moore</t>
  </si>
  <si>
    <t>POL8117207</t>
  </si>
  <si>
    <t>dustin00@benson-garcia.net.au</t>
  </si>
  <si>
    <t>+61 409 529 624</t>
  </si>
  <si>
    <t>Eric Caldwell</t>
  </si>
  <si>
    <t>Danielle Meyer MD</t>
  </si>
  <si>
    <t>POL5887188</t>
  </si>
  <si>
    <t>jasonwade@yahoo.com.au</t>
  </si>
  <si>
    <t>(02).1459.2163</t>
  </si>
  <si>
    <t>Veronica Ballard</t>
  </si>
  <si>
    <t>John Wise</t>
  </si>
  <si>
    <t>POL9752878</t>
  </si>
  <si>
    <t>otaylor@hotmail.com</t>
  </si>
  <si>
    <t>Russell Graves</t>
  </si>
  <si>
    <t>Stephanie Campbell</t>
  </si>
  <si>
    <t>POL6200157</t>
  </si>
  <si>
    <t>floressteven@miller.org</t>
  </si>
  <si>
    <t>(02)-3416-0684</t>
  </si>
  <si>
    <t>Lisa Garcia</t>
  </si>
  <si>
    <t>Donald Bryant</t>
  </si>
  <si>
    <t>POL2422072</t>
  </si>
  <si>
    <t>joanne38@hotmail.com</t>
  </si>
  <si>
    <t>+61 2 4560 3957</t>
  </si>
  <si>
    <t>Mr. Zachary Moss</t>
  </si>
  <si>
    <t>Laurie Wiggins</t>
  </si>
  <si>
    <t>POL4142793</t>
  </si>
  <si>
    <t>christopherkirk@murphy.org</t>
  </si>
  <si>
    <t>Joshua Peterson</t>
  </si>
  <si>
    <t>Troy Martin</t>
  </si>
  <si>
    <t>POL5968220</t>
  </si>
  <si>
    <t>michael86@hotmail.com</t>
  </si>
  <si>
    <t>08-8784-2515</t>
  </si>
  <si>
    <t>Aimee Collier</t>
  </si>
  <si>
    <t>Joshua Wagner</t>
  </si>
  <si>
    <t>POL8718236</t>
  </si>
  <si>
    <t>fbenson@hotmail.com.au</t>
  </si>
  <si>
    <t>Kenneth Holland</t>
  </si>
  <si>
    <t>Keith Hunter</t>
  </si>
  <si>
    <t>POL7490694</t>
  </si>
  <si>
    <t>onorris@hotmail.com.au</t>
  </si>
  <si>
    <t>7833-1875</t>
  </si>
  <si>
    <t>Elizabeth Wright</t>
  </si>
  <si>
    <t>Sara Richard</t>
  </si>
  <si>
    <t>POL3485484</t>
  </si>
  <si>
    <t>ywhite@yahoo.com</t>
  </si>
  <si>
    <t>Stacey Roth</t>
  </si>
  <si>
    <t>Robert Bradley</t>
  </si>
  <si>
    <t>POL8378460</t>
  </si>
  <si>
    <t>msheppard@yahoo.com.au</t>
  </si>
  <si>
    <t>6278 4207</t>
  </si>
  <si>
    <t>Jacob Jackson</t>
  </si>
  <si>
    <t>Mackenzie Bryan</t>
  </si>
  <si>
    <t>POL8776383</t>
  </si>
  <si>
    <t>lfrey@hotmail.com</t>
  </si>
  <si>
    <t>0443 007 143</t>
  </si>
  <si>
    <t>Randy Flores</t>
  </si>
  <si>
    <t>Jesse Brown</t>
  </si>
  <si>
    <t>POL3484196</t>
  </si>
  <si>
    <t>lbyrd@pierce.com.au</t>
  </si>
  <si>
    <t>(02) 1982 1331</t>
  </si>
  <si>
    <t>Debbie Guerrero</t>
  </si>
  <si>
    <t>Adam Padilla</t>
  </si>
  <si>
    <t>POL1845511</t>
  </si>
  <si>
    <t>ashleyhoward@miller-craig.biz</t>
  </si>
  <si>
    <t>2168-5820</t>
  </si>
  <si>
    <t>Kevin Garcia</t>
  </si>
  <si>
    <t>Linda Mckinney</t>
  </si>
  <si>
    <t>POL6934731</t>
  </si>
  <si>
    <t>blackrobin@hernandez.org</t>
  </si>
  <si>
    <t>Amanda Kennedy</t>
  </si>
  <si>
    <t>POL6061577</t>
  </si>
  <si>
    <t>jasminfrederick@yahoo.com.au</t>
  </si>
  <si>
    <t>Chad Williams</t>
  </si>
  <si>
    <t>Tony Atkins</t>
  </si>
  <si>
    <t>POL7125553</t>
  </si>
  <si>
    <t>diane84@hotmail.com</t>
  </si>
  <si>
    <t>Paul Carr</t>
  </si>
  <si>
    <t>Kara Welch</t>
  </si>
  <si>
    <t>POL2277453</t>
  </si>
  <si>
    <t>davidsonlindsey@sullivan.com.au</t>
  </si>
  <si>
    <t>4437 3572</t>
  </si>
  <si>
    <t>Natalie Case</t>
  </si>
  <si>
    <t>David Barajas</t>
  </si>
  <si>
    <t>POL2012261</t>
  </si>
  <si>
    <t>bridget74@yahoo.com</t>
  </si>
  <si>
    <t>9379-8287</t>
  </si>
  <si>
    <t>Tammy Key</t>
  </si>
  <si>
    <t>Nathan Holland</t>
  </si>
  <si>
    <t>POL4814576</t>
  </si>
  <si>
    <t>samantha16@baker.org</t>
  </si>
  <si>
    <t>+61.451.363.652</t>
  </si>
  <si>
    <t>Brian Sanchez</t>
  </si>
  <si>
    <t>Howard Duncan</t>
  </si>
  <si>
    <t>POL8896436</t>
  </si>
  <si>
    <t>desiree15@robertson-clements.net</t>
  </si>
  <si>
    <t>03-6245-1177</t>
  </si>
  <si>
    <t>Rebecca Ramirez</t>
  </si>
  <si>
    <t>Vickie Levy</t>
  </si>
  <si>
    <t>POL7333853</t>
  </si>
  <si>
    <t>amyhughes@thompson.com</t>
  </si>
  <si>
    <t>0475-425-443</t>
  </si>
  <si>
    <t>Judith Green</t>
  </si>
  <si>
    <t>Daniel Jennings</t>
  </si>
  <si>
    <t>POL6024757</t>
  </si>
  <si>
    <t>fclark@johnson.info</t>
  </si>
  <si>
    <t>+61.3.4110.0444</t>
  </si>
  <si>
    <t>Hector Smith</t>
  </si>
  <si>
    <t>Tom Williams</t>
  </si>
  <si>
    <t>POL1765433</t>
  </si>
  <si>
    <t>ejackson@hotmail.com.au</t>
  </si>
  <si>
    <t>Courtney Yu</t>
  </si>
  <si>
    <t>Kenneth Bailey</t>
  </si>
  <si>
    <t>POL6117690</t>
  </si>
  <si>
    <t>angela17@weaver.com.au</t>
  </si>
  <si>
    <t>Michael Hill PhD</t>
  </si>
  <si>
    <t>Brian Brady</t>
  </si>
  <si>
    <t>POL5150660</t>
  </si>
  <si>
    <t>jhernandez@yahoo.com.au</t>
  </si>
  <si>
    <t>(03) 2845 4436</t>
  </si>
  <si>
    <t>Matthew Holden</t>
  </si>
  <si>
    <t>Martha Gomez</t>
  </si>
  <si>
    <t>POL7575030</t>
  </si>
  <si>
    <t>richardlong@hotmail.com.au</t>
  </si>
  <si>
    <t>02-8644-3978</t>
  </si>
  <si>
    <t>Melinda Jackson</t>
  </si>
  <si>
    <t>Matthew Garner</t>
  </si>
  <si>
    <t>POL7232046</t>
  </si>
  <si>
    <t>baxterbilly@yahoo.com.au</t>
  </si>
  <si>
    <t>07.8316.2603</t>
  </si>
  <si>
    <t>Heather Adams</t>
  </si>
  <si>
    <t>Pamela Howe</t>
  </si>
  <si>
    <t>POL4681262</t>
  </si>
  <si>
    <t>marthaallen@hotmail.com.au</t>
  </si>
  <si>
    <t>07 8212 3616</t>
  </si>
  <si>
    <t>Shannon Thornton</t>
  </si>
  <si>
    <t>Keith Phillips</t>
  </si>
  <si>
    <t>POL5268488</t>
  </si>
  <si>
    <t>pamela03@walls.org.au</t>
  </si>
  <si>
    <t>Robert Smith V</t>
  </si>
  <si>
    <t>Anthony Morales</t>
  </si>
  <si>
    <t>POL2370112</t>
  </si>
  <si>
    <t>mark87@hotmail.com.au</t>
  </si>
  <si>
    <t>Molly Watts</t>
  </si>
  <si>
    <t>Dr. Robert Lamb</t>
  </si>
  <si>
    <t>POL2805660</t>
  </si>
  <si>
    <t>moniqueturner@moss-johnson.com.au</t>
  </si>
  <si>
    <t>Brian Clark</t>
  </si>
  <si>
    <t>Jessica Baker</t>
  </si>
  <si>
    <t>POL5367051</t>
  </si>
  <si>
    <t>mahoneynicholas@smith.info</t>
  </si>
  <si>
    <t>Rachel Collins</t>
  </si>
  <si>
    <t>James Bates</t>
  </si>
  <si>
    <t>POL6509534</t>
  </si>
  <si>
    <t>qdavis@ortiz-cook.org</t>
  </si>
  <si>
    <t>Lucas Cox</t>
  </si>
  <si>
    <t>Valerie Jackson</t>
  </si>
  <si>
    <t>POL7894403</t>
  </si>
  <si>
    <t>jasonenglish@hotmail.com</t>
  </si>
  <si>
    <t>John Fisher</t>
  </si>
  <si>
    <t>Blake Campbell</t>
  </si>
  <si>
    <t>POL3278085</t>
  </si>
  <si>
    <t>moorenicole@andrews.edu</t>
  </si>
  <si>
    <t>0414-499-077</t>
  </si>
  <si>
    <t>Brittany Johnson</t>
  </si>
  <si>
    <t>Joseph Page</t>
  </si>
  <si>
    <t>POL3948147</t>
  </si>
  <si>
    <t>swood@hotmail.com</t>
  </si>
  <si>
    <t>(08).6154.6441</t>
  </si>
  <si>
    <t>Troy Brady</t>
  </si>
  <si>
    <t>Joshua Palmer</t>
  </si>
  <si>
    <t>POL3203841</t>
  </si>
  <si>
    <t>woodmarcus@hotmail.com</t>
  </si>
  <si>
    <t>1372 5776</t>
  </si>
  <si>
    <t>George Gray</t>
  </si>
  <si>
    <t>Donna Nash</t>
  </si>
  <si>
    <t>POL7959057</t>
  </si>
  <si>
    <t>dalehernandez@hotmail.com.au</t>
  </si>
  <si>
    <t>03.3674.1138</t>
  </si>
  <si>
    <t>Tammy Miller</t>
  </si>
  <si>
    <t>Alexander Huffman</t>
  </si>
  <si>
    <t>POL7785232</t>
  </si>
  <si>
    <t>richarderic@clark.org</t>
  </si>
  <si>
    <t>0434.422.768</t>
  </si>
  <si>
    <t>Joshua White</t>
  </si>
  <si>
    <t>Mitchell Thompson</t>
  </si>
  <si>
    <t>POL6037635</t>
  </si>
  <si>
    <t>kelly90@hotmail.com</t>
  </si>
  <si>
    <t>8558 9865</t>
  </si>
  <si>
    <t>Denise White</t>
  </si>
  <si>
    <t>Cindy Moore</t>
  </si>
  <si>
    <t>POL3906150</t>
  </si>
  <si>
    <t>williamssusan@ramirez.com</t>
  </si>
  <si>
    <t>+61 406 393 974</t>
  </si>
  <si>
    <t>Caitlin Crosby</t>
  </si>
  <si>
    <t>Kimberly Hayes</t>
  </si>
  <si>
    <t>POL5918702</t>
  </si>
  <si>
    <t>kimberlyhodges@gmail.com</t>
  </si>
  <si>
    <t>0423.376.265</t>
  </si>
  <si>
    <t>George Munoz</t>
  </si>
  <si>
    <t>Alex Collins</t>
  </si>
  <si>
    <t>POL8796638</t>
  </si>
  <si>
    <t>michelepowers@yahoo.com.au</t>
  </si>
  <si>
    <t>April Krause</t>
  </si>
  <si>
    <t>Emily Johnson</t>
  </si>
  <si>
    <t>POL6373225</t>
  </si>
  <si>
    <t>qbecker@wang-francis.com</t>
  </si>
  <si>
    <t>Hannah Mcdowell</t>
  </si>
  <si>
    <t>Collin Lester</t>
  </si>
  <si>
    <t>POL1469829</t>
  </si>
  <si>
    <t>zachary62@yahoo.com</t>
  </si>
  <si>
    <t>9969 9858</t>
  </si>
  <si>
    <t>Robert Adkins</t>
  </si>
  <si>
    <t>Tommy Moss</t>
  </si>
  <si>
    <t>POL6913296</t>
  </si>
  <si>
    <t>stevenshaffer@lyons.net</t>
  </si>
  <si>
    <t>08-4588-9077</t>
  </si>
  <si>
    <t>Mr. Matthew Henson</t>
  </si>
  <si>
    <t>Manuel Barnett</t>
  </si>
  <si>
    <t>POL1520669</t>
  </si>
  <si>
    <t>travisgarcia@becker.biz</t>
  </si>
  <si>
    <t>(08)35369244</t>
  </si>
  <si>
    <t>Karen Shelton</t>
  </si>
  <si>
    <t>Charles Kennedy</t>
  </si>
  <si>
    <t>POL2892036</t>
  </si>
  <si>
    <t>james09@hotmail.com.au</t>
  </si>
  <si>
    <t>+61.417.024.439</t>
  </si>
  <si>
    <t>Cory Jackson</t>
  </si>
  <si>
    <t>Maxwell Cunningham</t>
  </si>
  <si>
    <t>POL7665462</t>
  </si>
  <si>
    <t>brightjeremy@hotmail.com</t>
  </si>
  <si>
    <t>Mrs. Emily Hayes</t>
  </si>
  <si>
    <t>James Johnson</t>
  </si>
  <si>
    <t>POL9070750</t>
  </si>
  <si>
    <t>jamesrobinson@kemp-williams.com</t>
  </si>
  <si>
    <t>9252 3310</t>
  </si>
  <si>
    <t>Sara Wolf</t>
  </si>
  <si>
    <t>Michelle Buchanan</t>
  </si>
  <si>
    <t>POL6314122</t>
  </si>
  <si>
    <t>cbruce@yahoo.com.au</t>
  </si>
  <si>
    <t>(02) 6294 5761</t>
  </si>
  <si>
    <t>Tiffany Carpenter</t>
  </si>
  <si>
    <t>Cynthia Oconnell</t>
  </si>
  <si>
    <t>POL9819556</t>
  </si>
  <si>
    <t>clementsdana@hotmail.com.au</t>
  </si>
  <si>
    <t>+61 8 2061 6595</t>
  </si>
  <si>
    <t>Daryl Thompson</t>
  </si>
  <si>
    <t>Julie Lam</t>
  </si>
  <si>
    <t>POL2713944</t>
  </si>
  <si>
    <t>stephenskinner@yahoo.com.au</t>
  </si>
  <si>
    <t>Angela Simmons</t>
  </si>
  <si>
    <t>Miss Brittney Norton</t>
  </si>
  <si>
    <t>POL1571203</t>
  </si>
  <si>
    <t>gdickerson@sosa-gutierrez.info</t>
  </si>
  <si>
    <t>James Mccormick</t>
  </si>
  <si>
    <t>POL8006629</t>
  </si>
  <si>
    <t>oconnormanuel@yahoo.com</t>
  </si>
  <si>
    <t>(08)99594345</t>
  </si>
  <si>
    <t>Louis Burgess</t>
  </si>
  <si>
    <t>Laura Santos</t>
  </si>
  <si>
    <t>POL4388160</t>
  </si>
  <si>
    <t>justin67@castro-adams.com</t>
  </si>
  <si>
    <t>(02).2928.7063</t>
  </si>
  <si>
    <t>Corey Carter</t>
  </si>
  <si>
    <t>Peggy Leon</t>
  </si>
  <si>
    <t>POL5535547</t>
  </si>
  <si>
    <t>gloriastevenson@yahoo.com.au</t>
  </si>
  <si>
    <t>Sheri Keith</t>
  </si>
  <si>
    <t>David Blankenship</t>
  </si>
  <si>
    <t>POL7731936</t>
  </si>
  <si>
    <t>millerdaniel@yahoo.com.au</t>
  </si>
  <si>
    <t>0497.084.373</t>
  </si>
  <si>
    <t>Samantha Donaldson</t>
  </si>
  <si>
    <t>Steven Moore</t>
  </si>
  <si>
    <t>POL6799603</t>
  </si>
  <si>
    <t>morganrenee@gmail.com</t>
  </si>
  <si>
    <t>Rhonda Morgan</t>
  </si>
  <si>
    <t>Rachel Lane</t>
  </si>
  <si>
    <t>POL9039577</t>
  </si>
  <si>
    <t>normanangela@yahoo.com.au</t>
  </si>
  <si>
    <t>3681 3380</t>
  </si>
  <si>
    <t>Matthew Chen</t>
  </si>
  <si>
    <t>Eric Burke</t>
  </si>
  <si>
    <t>POL5199141</t>
  </si>
  <si>
    <t>jbrandt@guzman.com</t>
  </si>
  <si>
    <t>(03)46955810</t>
  </si>
  <si>
    <t>Dawn Thomas</t>
  </si>
  <si>
    <t>Susan Ramsey</t>
  </si>
  <si>
    <t>POL8782469</t>
  </si>
  <si>
    <t>evansrebecca@anderson.edu</t>
  </si>
  <si>
    <t>(02)02690691</t>
  </si>
  <si>
    <t>Brittany Davidson</t>
  </si>
  <si>
    <t>Daisy Flowers</t>
  </si>
  <si>
    <t>POL3340041</t>
  </si>
  <si>
    <t>mooreerin@yahoo.com</t>
  </si>
  <si>
    <t>0431-816-482</t>
  </si>
  <si>
    <t>Cameron Charles</t>
  </si>
  <si>
    <t>Brenda Lowe</t>
  </si>
  <si>
    <t>POL2323199</t>
  </si>
  <si>
    <t>william12@yahoo.com.au</t>
  </si>
  <si>
    <t>08 8816 6069</t>
  </si>
  <si>
    <t>Andrew Nichols</t>
  </si>
  <si>
    <t>Felicia Adams</t>
  </si>
  <si>
    <t>POL7659747</t>
  </si>
  <si>
    <t>alexa43@yahoo.com.au</t>
  </si>
  <si>
    <t>(03).5084.2085</t>
  </si>
  <si>
    <t>Andrew Romero</t>
  </si>
  <si>
    <t>Monica Hawkins</t>
  </si>
  <si>
    <t>POL5177107</t>
  </si>
  <si>
    <t>vgallegos@clark-simmons.org</t>
  </si>
  <si>
    <t>+61.441.766.985</t>
  </si>
  <si>
    <t>Susan Chen</t>
  </si>
  <si>
    <t>William Herrera</t>
  </si>
  <si>
    <t>POL6851959</t>
  </si>
  <si>
    <t>jonesmarissa@parks-frank.net</t>
  </si>
  <si>
    <t>Theodore Delacruz</t>
  </si>
  <si>
    <t>Patricia Roberts</t>
  </si>
  <si>
    <t>POL4707808</t>
  </si>
  <si>
    <t>stevenwilliams@yahoo.com</t>
  </si>
  <si>
    <t>+61 2 5033 0622</t>
  </si>
  <si>
    <t>Brian Beck MD</t>
  </si>
  <si>
    <t>Sarah Monroe</t>
  </si>
  <si>
    <t>POL8822761</t>
  </si>
  <si>
    <t>klinetroy@gmail.com</t>
  </si>
  <si>
    <t>07 4239 8050</t>
  </si>
  <si>
    <t>Joshua Hawkins</t>
  </si>
  <si>
    <t>Craig Peterson</t>
  </si>
  <si>
    <t>POL7018626</t>
  </si>
  <si>
    <t>oknox@yahoo.com</t>
  </si>
  <si>
    <t>Brittany Fitzgerald</t>
  </si>
  <si>
    <t>Thomas Warren</t>
  </si>
  <si>
    <t>POL6234194</t>
  </si>
  <si>
    <t>rosetracy@roberts-mcpherson.com</t>
  </si>
  <si>
    <t>+61 8 5571 3131</t>
  </si>
  <si>
    <t>Christopher Hester</t>
  </si>
  <si>
    <t>Thomas Wright</t>
  </si>
  <si>
    <t>POL6266218</t>
  </si>
  <si>
    <t>grivers@santiago.biz</t>
  </si>
  <si>
    <t>08.0676.2266</t>
  </si>
  <si>
    <t>Michael Oneal</t>
  </si>
  <si>
    <t>Clinton Harper</t>
  </si>
  <si>
    <t>POL7131998</t>
  </si>
  <si>
    <t>sgeorge@gmail.com</t>
  </si>
  <si>
    <t>(08)29321323</t>
  </si>
  <si>
    <t>Nancy Ward</t>
  </si>
  <si>
    <t>David Gonzales</t>
  </si>
  <si>
    <t>POL9627414</t>
  </si>
  <si>
    <t>madisonjohnson@riley.edu.au</t>
  </si>
  <si>
    <t>(02).3767.3589</t>
  </si>
  <si>
    <t>Don Davis</t>
  </si>
  <si>
    <t>Donald Wright</t>
  </si>
  <si>
    <t>POL4957241</t>
  </si>
  <si>
    <t>sarahcole@wood.com</t>
  </si>
  <si>
    <t>+61.433.934.639</t>
  </si>
  <si>
    <t>April Dorsey</t>
  </si>
  <si>
    <t>Jessica Norris</t>
  </si>
  <si>
    <t>POL4758831</t>
  </si>
  <si>
    <t>bradshawkimberly@hotmail.com</t>
  </si>
  <si>
    <t>(02)91258132</t>
  </si>
  <si>
    <t>Jessica Mcdonald</t>
  </si>
  <si>
    <t>Donald Murphy</t>
  </si>
  <si>
    <t>POL1224971</t>
  </si>
  <si>
    <t>mandy53@middleton.biz</t>
  </si>
  <si>
    <t>Connie Humphrey</t>
  </si>
  <si>
    <t>Sergio Snyder</t>
  </si>
  <si>
    <t>POL7263214</t>
  </si>
  <si>
    <t>kimberlybell@yahoo.com.au</t>
  </si>
  <si>
    <t>+61.3.0164.6631</t>
  </si>
  <si>
    <t>Janice Cobb</t>
  </si>
  <si>
    <t>James Jones</t>
  </si>
  <si>
    <t>POL2914758</t>
  </si>
  <si>
    <t>zacharyfrazier@rose.info</t>
  </si>
  <si>
    <t>0465-083-169</t>
  </si>
  <si>
    <t>Whitney Nelson</t>
  </si>
  <si>
    <t>Timothy Brown</t>
  </si>
  <si>
    <t>POL6356964</t>
  </si>
  <si>
    <t>leekrystal@woodard-beck.org</t>
  </si>
  <si>
    <t>Shawn Stewart</t>
  </si>
  <si>
    <t>Eric Hernandez</t>
  </si>
  <si>
    <t>POL1826191</t>
  </si>
  <si>
    <t>bweeks@hotmail.com.au</t>
  </si>
  <si>
    <t>+61 405 255 046</t>
  </si>
  <si>
    <t>Tyler Banks</t>
  </si>
  <si>
    <t>Andre Clark</t>
  </si>
  <si>
    <t>POL2094007</t>
  </si>
  <si>
    <t>qadams@kemp.org</t>
  </si>
  <si>
    <t>Daniel Davis</t>
  </si>
  <si>
    <t>Shirley Torres</t>
  </si>
  <si>
    <t>POL4681716</t>
  </si>
  <si>
    <t>chelseajackson@hotmail.com</t>
  </si>
  <si>
    <t>08.7776.5910</t>
  </si>
  <si>
    <t>Shannon Shaw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</si>
</sst>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14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225D3-1D7D-4916-957A-556E304D2639}">
  <dimension ref="A1:P1001"/>
  <sheetViews>
    <sheetView tabSelected="1" topLeftCell="B1" zoomScale="81" workbookViewId="0">
      <selection sqref="A1:P8"/>
    </sheetView>
  </sheetViews>
  <sheetFormatPr defaultRowHeight="14.25" x14ac:dyDescent="0.45"/>
  <cols>
    <col min="1" max="1" width="21.06640625" bestFit="1" customWidth="1"/>
    <col min="2" max="2" width="3.53125" bestFit="1" customWidth="1"/>
    <col min="3" max="3" width="4.796875" bestFit="1" customWidth="1"/>
    <col min="4" max="4" width="12.46484375" bestFit="1" customWidth="1"/>
    <col min="5" max="5" width="18.6640625" bestFit="1" customWidth="1"/>
    <col min="6" max="6" width="16.9296875" bestFit="1" customWidth="1"/>
    <col min="7" max="7" width="10.6640625" bestFit="1" customWidth="1"/>
    <col min="8" max="8" width="13.59765625" bestFit="1" customWidth="1"/>
    <col min="9" max="9" width="12.86328125" bestFit="1" customWidth="1"/>
    <col min="10" max="10" width="12.06640625" bestFit="1" customWidth="1"/>
    <col min="11" max="11" width="10.06640625" bestFit="1" customWidth="1"/>
    <col min="12" max="12" width="16.1328125" bestFit="1" customWidth="1"/>
    <col min="13" max="13" width="8.796875" bestFit="1" customWidth="1"/>
    <col min="14" max="14" width="37.3984375" bestFit="1" customWidth="1"/>
    <col min="15" max="15" width="14.3984375" bestFit="1" customWidth="1"/>
    <col min="16" max="16" width="19.1328125" bestFit="1" customWidth="1"/>
  </cols>
  <sheetData>
    <row r="1" spans="1:16" x14ac:dyDescent="0.4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</row>
    <row r="2" spans="1:16" x14ac:dyDescent="0.45">
      <c r="A2" t="s">
        <v>16</v>
      </c>
      <c r="B2">
        <v>51</v>
      </c>
      <c r="C2" t="s">
        <v>17</v>
      </c>
      <c r="D2" t="s">
        <v>18</v>
      </c>
      <c r="E2">
        <v>961.16</v>
      </c>
      <c r="F2">
        <v>6409.96</v>
      </c>
      <c r="G2" t="s">
        <v>19</v>
      </c>
      <c r="H2" s="1">
        <v>45415</v>
      </c>
      <c r="I2" s="1">
        <v>45781</v>
      </c>
      <c r="J2" t="s">
        <v>20</v>
      </c>
      <c r="K2" t="s">
        <v>21</v>
      </c>
      <c r="L2" t="s">
        <v>22</v>
      </c>
      <c r="M2">
        <v>0.9</v>
      </c>
      <c r="N2" t="s">
        <v>23</v>
      </c>
      <c r="O2">
        <v>744073428</v>
      </c>
      <c r="P2" t="s">
        <v>24</v>
      </c>
    </row>
    <row r="3" spans="1:16" x14ac:dyDescent="0.45">
      <c r="A3" t="s">
        <v>25</v>
      </c>
      <c r="B3">
        <v>57</v>
      </c>
      <c r="C3" t="s">
        <v>26</v>
      </c>
      <c r="D3" t="s">
        <v>18</v>
      </c>
      <c r="E3">
        <v>735.15</v>
      </c>
      <c r="F3">
        <v>18936.43</v>
      </c>
      <c r="G3" t="s">
        <v>19</v>
      </c>
      <c r="H3" s="1">
        <v>44829</v>
      </c>
      <c r="I3" s="1">
        <v>44975</v>
      </c>
      <c r="J3" t="s">
        <v>27</v>
      </c>
      <c r="K3" t="s">
        <v>28</v>
      </c>
      <c r="L3" t="s">
        <v>22</v>
      </c>
      <c r="M3">
        <v>0.95</v>
      </c>
      <c r="N3" t="s">
        <v>29</v>
      </c>
      <c r="O3">
        <v>61485537</v>
      </c>
      <c r="P3" t="s">
        <v>30</v>
      </c>
    </row>
    <row r="4" spans="1:16" x14ac:dyDescent="0.45">
      <c r="A4" t="s">
        <v>31</v>
      </c>
      <c r="B4">
        <v>33</v>
      </c>
      <c r="C4" t="s">
        <v>32</v>
      </c>
      <c r="D4" t="s">
        <v>33</v>
      </c>
      <c r="E4">
        <v>3817.66</v>
      </c>
      <c r="F4">
        <v>16265.9</v>
      </c>
      <c r="G4" t="s">
        <v>19</v>
      </c>
      <c r="H4" s="1">
        <v>45103</v>
      </c>
      <c r="I4" s="1">
        <v>45409</v>
      </c>
      <c r="J4" t="s">
        <v>34</v>
      </c>
      <c r="K4" t="s">
        <v>35</v>
      </c>
      <c r="L4" t="s">
        <v>36</v>
      </c>
      <c r="M4">
        <v>0.08</v>
      </c>
      <c r="N4" t="s">
        <v>37</v>
      </c>
      <c r="O4">
        <f>61-2-2769-5656</f>
        <v>-8366</v>
      </c>
      <c r="P4" t="s">
        <v>38</v>
      </c>
    </row>
    <row r="5" spans="1:16" x14ac:dyDescent="0.45">
      <c r="A5" t="s">
        <v>39</v>
      </c>
      <c r="B5">
        <v>38</v>
      </c>
      <c r="C5" t="s">
        <v>40</v>
      </c>
      <c r="D5" t="s">
        <v>41</v>
      </c>
      <c r="E5">
        <v>2946.32</v>
      </c>
      <c r="F5">
        <v>15382.5</v>
      </c>
      <c r="G5" t="s">
        <v>19</v>
      </c>
      <c r="H5" s="1">
        <v>45061</v>
      </c>
      <c r="I5" s="1">
        <v>45088</v>
      </c>
      <c r="J5" t="s">
        <v>42</v>
      </c>
      <c r="K5" t="s">
        <v>21</v>
      </c>
      <c r="L5" t="s">
        <v>43</v>
      </c>
      <c r="M5">
        <v>0.13</v>
      </c>
      <c r="N5" t="s">
        <v>44</v>
      </c>
      <c r="O5" t="s">
        <v>45</v>
      </c>
      <c r="P5" t="s">
        <v>46</v>
      </c>
    </row>
    <row r="6" spans="1:16" x14ac:dyDescent="0.45">
      <c r="A6" t="s">
        <v>47</v>
      </c>
      <c r="B6">
        <v>27</v>
      </c>
      <c r="C6" t="s">
        <v>48</v>
      </c>
      <c r="D6" t="s">
        <v>33</v>
      </c>
      <c r="E6">
        <v>4076.51</v>
      </c>
      <c r="F6">
        <v>7767.14</v>
      </c>
      <c r="G6" t="s">
        <v>19</v>
      </c>
      <c r="H6" s="1">
        <v>45363</v>
      </c>
      <c r="I6" s="1">
        <v>45661</v>
      </c>
      <c r="J6" t="s">
        <v>49</v>
      </c>
      <c r="K6" t="s">
        <v>50</v>
      </c>
      <c r="L6" t="s">
        <v>43</v>
      </c>
      <c r="M6">
        <v>0.37</v>
      </c>
      <c r="N6" t="s">
        <v>51</v>
      </c>
      <c r="O6" t="s">
        <v>52</v>
      </c>
      <c r="P6" t="s">
        <v>53</v>
      </c>
    </row>
    <row r="7" spans="1:16" x14ac:dyDescent="0.45">
      <c r="A7" t="s">
        <v>54</v>
      </c>
      <c r="B7">
        <v>75</v>
      </c>
      <c r="C7" t="s">
        <v>55</v>
      </c>
      <c r="D7" t="s">
        <v>18</v>
      </c>
      <c r="E7">
        <v>3993.37</v>
      </c>
      <c r="F7">
        <v>8912.52</v>
      </c>
      <c r="G7" t="s">
        <v>19</v>
      </c>
      <c r="H7" s="1">
        <v>44923</v>
      </c>
      <c r="I7" s="1">
        <v>45083</v>
      </c>
      <c r="J7" t="s">
        <v>56</v>
      </c>
      <c r="K7" t="s">
        <v>28</v>
      </c>
      <c r="L7" t="s">
        <v>43</v>
      </c>
      <c r="M7">
        <v>0.75</v>
      </c>
      <c r="N7" t="s">
        <v>57</v>
      </c>
      <c r="O7" t="s">
        <v>58</v>
      </c>
      <c r="P7" t="s">
        <v>59</v>
      </c>
    </row>
    <row r="8" spans="1:16" x14ac:dyDescent="0.45">
      <c r="A8" t="s">
        <v>60</v>
      </c>
      <c r="B8">
        <v>24</v>
      </c>
      <c r="C8" t="s">
        <v>32</v>
      </c>
      <c r="D8" t="s">
        <v>18</v>
      </c>
      <c r="E8">
        <v>2390.0300000000002</v>
      </c>
      <c r="F8">
        <v>9276.02</v>
      </c>
      <c r="G8" t="s">
        <v>19</v>
      </c>
      <c r="H8" s="1">
        <v>44931</v>
      </c>
      <c r="I8" s="1">
        <v>45002</v>
      </c>
      <c r="J8" t="s">
        <v>61</v>
      </c>
      <c r="K8" t="s">
        <v>21</v>
      </c>
      <c r="L8" t="s">
        <v>22</v>
      </c>
      <c r="M8">
        <v>0.52</v>
      </c>
      <c r="N8" t="s">
        <v>62</v>
      </c>
      <c r="O8" t="s">
        <v>63</v>
      </c>
      <c r="P8" t="s">
        <v>64</v>
      </c>
    </row>
    <row r="9" spans="1:16" x14ac:dyDescent="0.45">
      <c r="A9" t="s">
        <v>65</v>
      </c>
      <c r="B9">
        <v>27</v>
      </c>
      <c r="C9" t="s">
        <v>66</v>
      </c>
      <c r="D9" t="s">
        <v>67</v>
      </c>
      <c r="E9">
        <v>2177.0700000000002</v>
      </c>
      <c r="F9">
        <v>11693.81</v>
      </c>
      <c r="G9" t="s">
        <v>19</v>
      </c>
      <c r="H9" s="1">
        <v>44916</v>
      </c>
      <c r="I9" s="1">
        <v>44973</v>
      </c>
      <c r="J9" t="s">
        <v>68</v>
      </c>
      <c r="K9" t="s">
        <v>50</v>
      </c>
      <c r="L9" t="s">
        <v>22</v>
      </c>
      <c r="M9">
        <v>0.98</v>
      </c>
      <c r="N9" t="s">
        <v>69</v>
      </c>
      <c r="O9" t="s">
        <v>70</v>
      </c>
      <c r="P9" t="s">
        <v>71</v>
      </c>
    </row>
    <row r="10" spans="1:16" x14ac:dyDescent="0.45">
      <c r="A10" t="s">
        <v>72</v>
      </c>
      <c r="B10">
        <v>44</v>
      </c>
      <c r="C10" t="s">
        <v>17</v>
      </c>
      <c r="D10" t="s">
        <v>41</v>
      </c>
      <c r="E10">
        <v>1852.75</v>
      </c>
      <c r="F10">
        <v>16611.02</v>
      </c>
      <c r="G10" t="s">
        <v>19</v>
      </c>
      <c r="H10" s="1">
        <v>45029</v>
      </c>
      <c r="I10" s="1">
        <v>45143</v>
      </c>
      <c r="J10" t="s">
        <v>73</v>
      </c>
      <c r="K10" t="s">
        <v>21</v>
      </c>
      <c r="L10" t="s">
        <v>36</v>
      </c>
      <c r="M10">
        <v>0.89</v>
      </c>
      <c r="N10" t="s">
        <v>74</v>
      </c>
      <c r="O10" t="s">
        <v>75</v>
      </c>
      <c r="P10" t="s">
        <v>76</v>
      </c>
    </row>
    <row r="11" spans="1:16" x14ac:dyDescent="0.45">
      <c r="A11" t="s">
        <v>77</v>
      </c>
      <c r="B11">
        <v>31</v>
      </c>
      <c r="C11" t="s">
        <v>40</v>
      </c>
      <c r="D11" t="s">
        <v>41</v>
      </c>
      <c r="E11">
        <v>1505.7</v>
      </c>
      <c r="F11">
        <v>17687.169999999998</v>
      </c>
      <c r="G11" t="s">
        <v>19</v>
      </c>
      <c r="H11" s="1">
        <v>45120</v>
      </c>
      <c r="I11" s="1">
        <v>45150</v>
      </c>
      <c r="J11" t="s">
        <v>78</v>
      </c>
      <c r="K11" t="s">
        <v>35</v>
      </c>
      <c r="L11" t="s">
        <v>43</v>
      </c>
      <c r="M11">
        <v>0.14000000000000001</v>
      </c>
      <c r="N11" t="s">
        <v>79</v>
      </c>
      <c r="O11" t="s">
        <v>80</v>
      </c>
      <c r="P11" t="s">
        <v>81</v>
      </c>
    </row>
    <row r="12" spans="1:16" x14ac:dyDescent="0.45">
      <c r="A12" t="s">
        <v>82</v>
      </c>
      <c r="B12">
        <v>29</v>
      </c>
      <c r="C12" t="s">
        <v>83</v>
      </c>
      <c r="D12" t="s">
        <v>84</v>
      </c>
      <c r="E12">
        <v>1653.97</v>
      </c>
      <c r="F12">
        <v>19322.54</v>
      </c>
      <c r="G12" t="s">
        <v>85</v>
      </c>
      <c r="H12" s="1">
        <v>45424</v>
      </c>
      <c r="I12" s="1">
        <v>45793</v>
      </c>
      <c r="J12" t="s">
        <v>86</v>
      </c>
      <c r="K12" t="s">
        <v>35</v>
      </c>
      <c r="L12" t="s">
        <v>36</v>
      </c>
      <c r="M12">
        <v>0.4</v>
      </c>
      <c r="N12" t="s">
        <v>87</v>
      </c>
      <c r="O12">
        <f>61-8-3010-1300</f>
        <v>-4257</v>
      </c>
      <c r="P12" t="s">
        <v>88</v>
      </c>
    </row>
    <row r="13" spans="1:16" x14ac:dyDescent="0.45">
      <c r="A13" t="s">
        <v>89</v>
      </c>
      <c r="B13">
        <v>44</v>
      </c>
      <c r="C13" t="s">
        <v>55</v>
      </c>
      <c r="D13" t="s">
        <v>41</v>
      </c>
      <c r="E13">
        <v>3564.88</v>
      </c>
      <c r="F13">
        <v>11600.34</v>
      </c>
      <c r="G13" t="s">
        <v>19</v>
      </c>
      <c r="H13" s="1">
        <v>45189</v>
      </c>
      <c r="I13" s="1">
        <v>45845</v>
      </c>
      <c r="J13" t="s">
        <v>90</v>
      </c>
      <c r="K13" t="s">
        <v>50</v>
      </c>
      <c r="L13" t="s">
        <v>43</v>
      </c>
      <c r="M13">
        <v>0.87</v>
      </c>
      <c r="N13" t="s">
        <v>91</v>
      </c>
      <c r="O13">
        <v>9734.7914999999994</v>
      </c>
      <c r="P13" t="s">
        <v>92</v>
      </c>
    </row>
    <row r="14" spans="1:16" x14ac:dyDescent="0.45">
      <c r="A14" t="s">
        <v>93</v>
      </c>
      <c r="B14">
        <v>52</v>
      </c>
      <c r="C14" t="s">
        <v>40</v>
      </c>
      <c r="D14" t="s">
        <v>33</v>
      </c>
      <c r="E14">
        <v>2980.71</v>
      </c>
      <c r="F14">
        <v>14190.91</v>
      </c>
      <c r="G14" t="s">
        <v>19</v>
      </c>
      <c r="H14" s="1">
        <v>44877</v>
      </c>
      <c r="I14" s="1">
        <v>45053</v>
      </c>
      <c r="J14" t="s">
        <v>94</v>
      </c>
      <c r="K14" t="s">
        <v>35</v>
      </c>
      <c r="L14" t="s">
        <v>36</v>
      </c>
      <c r="M14">
        <v>0.45</v>
      </c>
      <c r="N14" t="s">
        <v>95</v>
      </c>
      <c r="O14" t="s">
        <v>96</v>
      </c>
      <c r="P14" t="s">
        <v>97</v>
      </c>
    </row>
    <row r="15" spans="1:16" x14ac:dyDescent="0.45">
      <c r="A15" t="s">
        <v>98</v>
      </c>
      <c r="B15">
        <v>32</v>
      </c>
      <c r="C15" t="s">
        <v>55</v>
      </c>
      <c r="D15" t="s">
        <v>33</v>
      </c>
      <c r="E15">
        <v>353.64</v>
      </c>
      <c r="F15">
        <v>17509.11</v>
      </c>
      <c r="G15" t="s">
        <v>19</v>
      </c>
      <c r="H15" s="1">
        <v>45365</v>
      </c>
      <c r="I15" s="1">
        <v>45863</v>
      </c>
      <c r="J15" t="s">
        <v>99</v>
      </c>
      <c r="K15" t="s">
        <v>35</v>
      </c>
      <c r="L15" t="s">
        <v>36</v>
      </c>
      <c r="M15">
        <v>0.71</v>
      </c>
      <c r="N15" t="s">
        <v>100</v>
      </c>
      <c r="O15" t="s">
        <v>101</v>
      </c>
      <c r="P15" t="s">
        <v>102</v>
      </c>
    </row>
    <row r="16" spans="1:16" x14ac:dyDescent="0.45">
      <c r="A16" t="s">
        <v>103</v>
      </c>
      <c r="B16">
        <v>34</v>
      </c>
      <c r="C16" t="s">
        <v>55</v>
      </c>
      <c r="D16" t="s">
        <v>33</v>
      </c>
      <c r="E16">
        <v>3038.81</v>
      </c>
      <c r="F16">
        <v>8272.9500000000007</v>
      </c>
      <c r="G16" t="s">
        <v>104</v>
      </c>
      <c r="H16" s="1">
        <v>45237</v>
      </c>
      <c r="I16" s="1">
        <v>45791</v>
      </c>
      <c r="J16" t="s">
        <v>105</v>
      </c>
      <c r="K16" t="s">
        <v>35</v>
      </c>
      <c r="L16" t="s">
        <v>43</v>
      </c>
      <c r="M16">
        <v>0.31</v>
      </c>
      <c r="N16" t="s">
        <v>106</v>
      </c>
      <c r="O16">
        <v>4633.8814000000002</v>
      </c>
      <c r="P16" t="s">
        <v>107</v>
      </c>
    </row>
    <row r="17" spans="1:16" x14ac:dyDescent="0.45">
      <c r="A17" t="s">
        <v>108</v>
      </c>
      <c r="B17">
        <v>37</v>
      </c>
      <c r="C17" t="s">
        <v>32</v>
      </c>
      <c r="D17" t="s">
        <v>67</v>
      </c>
      <c r="E17">
        <v>1260.67</v>
      </c>
      <c r="F17">
        <v>13600.11</v>
      </c>
      <c r="G17" t="s">
        <v>19</v>
      </c>
      <c r="H17" s="1">
        <v>44955</v>
      </c>
      <c r="I17" s="1">
        <v>45561</v>
      </c>
      <c r="J17" t="s">
        <v>109</v>
      </c>
      <c r="K17" t="s">
        <v>35</v>
      </c>
      <c r="L17" t="s">
        <v>36</v>
      </c>
      <c r="M17">
        <v>0.86</v>
      </c>
      <c r="N17" t="s">
        <v>110</v>
      </c>
      <c r="O17" t="s">
        <v>111</v>
      </c>
      <c r="P17" t="s">
        <v>112</v>
      </c>
    </row>
    <row r="18" spans="1:16" x14ac:dyDescent="0.45">
      <c r="A18" t="s">
        <v>113</v>
      </c>
      <c r="B18">
        <v>29</v>
      </c>
      <c r="C18" t="s">
        <v>40</v>
      </c>
      <c r="D18" t="s">
        <v>33</v>
      </c>
      <c r="E18">
        <v>1123.8</v>
      </c>
      <c r="F18">
        <v>1541.44</v>
      </c>
      <c r="G18" t="s">
        <v>104</v>
      </c>
      <c r="H18" s="1">
        <v>45273</v>
      </c>
      <c r="I18" s="1">
        <v>45312</v>
      </c>
      <c r="J18" t="s">
        <v>114</v>
      </c>
      <c r="K18" t="s">
        <v>21</v>
      </c>
      <c r="L18" t="s">
        <v>36</v>
      </c>
      <c r="M18">
        <v>0.22</v>
      </c>
      <c r="N18" t="s">
        <v>115</v>
      </c>
      <c r="O18" t="s">
        <v>116</v>
      </c>
      <c r="P18" t="s">
        <v>117</v>
      </c>
    </row>
    <row r="19" spans="1:16" x14ac:dyDescent="0.45">
      <c r="A19" t="s">
        <v>118</v>
      </c>
      <c r="B19">
        <v>34</v>
      </c>
      <c r="C19" t="s">
        <v>26</v>
      </c>
      <c r="D19" t="s">
        <v>41</v>
      </c>
      <c r="E19">
        <v>1867.66</v>
      </c>
      <c r="F19">
        <v>16648.11</v>
      </c>
      <c r="G19" t="s">
        <v>85</v>
      </c>
      <c r="H19" s="1">
        <v>45440</v>
      </c>
      <c r="I19" s="1">
        <v>45507</v>
      </c>
      <c r="J19" t="s">
        <v>119</v>
      </c>
      <c r="K19" t="s">
        <v>35</v>
      </c>
      <c r="L19" t="s">
        <v>22</v>
      </c>
      <c r="M19">
        <v>0.68</v>
      </c>
      <c r="N19" t="s">
        <v>120</v>
      </c>
      <c r="O19" t="s">
        <v>121</v>
      </c>
      <c r="P19" t="s">
        <v>122</v>
      </c>
    </row>
    <row r="20" spans="1:16" x14ac:dyDescent="0.45">
      <c r="A20" t="s">
        <v>123</v>
      </c>
      <c r="B20">
        <v>61</v>
      </c>
      <c r="C20" t="s">
        <v>26</v>
      </c>
      <c r="D20" t="s">
        <v>67</v>
      </c>
      <c r="E20">
        <v>1957.29</v>
      </c>
      <c r="F20">
        <v>1136.71</v>
      </c>
      <c r="G20" t="s">
        <v>19</v>
      </c>
      <c r="H20" s="1">
        <v>45009</v>
      </c>
      <c r="I20" s="1">
        <v>45109</v>
      </c>
      <c r="J20" t="s">
        <v>124</v>
      </c>
      <c r="K20" t="s">
        <v>50</v>
      </c>
      <c r="L20" t="s">
        <v>36</v>
      </c>
      <c r="M20">
        <v>0.82</v>
      </c>
      <c r="N20" t="s">
        <v>125</v>
      </c>
      <c r="O20" t="s">
        <v>126</v>
      </c>
      <c r="P20" t="s">
        <v>127</v>
      </c>
    </row>
    <row r="21" spans="1:16" x14ac:dyDescent="0.45">
      <c r="A21" t="s">
        <v>128</v>
      </c>
      <c r="B21">
        <v>20</v>
      </c>
      <c r="C21" t="s">
        <v>66</v>
      </c>
      <c r="D21" t="s">
        <v>41</v>
      </c>
      <c r="E21">
        <v>3638.12</v>
      </c>
      <c r="F21">
        <v>11381.45</v>
      </c>
      <c r="G21" t="s">
        <v>19</v>
      </c>
      <c r="H21" s="1">
        <v>44882</v>
      </c>
      <c r="I21" s="1">
        <v>45793</v>
      </c>
      <c r="J21" t="s">
        <v>129</v>
      </c>
      <c r="K21" t="s">
        <v>35</v>
      </c>
      <c r="L21" t="s">
        <v>43</v>
      </c>
      <c r="M21">
        <v>0.39</v>
      </c>
      <c r="N21" t="s">
        <v>130</v>
      </c>
      <c r="O21" t="s">
        <v>131</v>
      </c>
      <c r="P21" t="s">
        <v>132</v>
      </c>
    </row>
    <row r="22" spans="1:16" x14ac:dyDescent="0.45">
      <c r="A22" t="s">
        <v>133</v>
      </c>
      <c r="B22">
        <v>20</v>
      </c>
      <c r="C22" t="s">
        <v>40</v>
      </c>
      <c r="D22" t="s">
        <v>41</v>
      </c>
      <c r="E22">
        <v>1767.83</v>
      </c>
      <c r="F22">
        <v>17627.62</v>
      </c>
      <c r="G22" t="s">
        <v>19</v>
      </c>
      <c r="H22" s="1">
        <v>44932</v>
      </c>
      <c r="I22" s="1">
        <v>45418</v>
      </c>
      <c r="J22" t="s">
        <v>134</v>
      </c>
      <c r="K22" t="s">
        <v>50</v>
      </c>
      <c r="L22" t="s">
        <v>22</v>
      </c>
      <c r="M22">
        <v>0.05</v>
      </c>
      <c r="N22" t="s">
        <v>135</v>
      </c>
      <c r="O22" t="s">
        <v>136</v>
      </c>
      <c r="P22" t="s">
        <v>137</v>
      </c>
    </row>
    <row r="23" spans="1:16" x14ac:dyDescent="0.45">
      <c r="A23" t="s">
        <v>138</v>
      </c>
      <c r="B23">
        <v>70</v>
      </c>
      <c r="C23" t="s">
        <v>55</v>
      </c>
      <c r="D23" t="s">
        <v>33</v>
      </c>
      <c r="E23">
        <v>2480.98</v>
      </c>
      <c r="F23">
        <v>18954.84</v>
      </c>
      <c r="G23" t="s">
        <v>85</v>
      </c>
      <c r="H23" s="1">
        <v>44858</v>
      </c>
      <c r="I23" s="1">
        <v>44987</v>
      </c>
      <c r="J23" t="s">
        <v>139</v>
      </c>
      <c r="K23" t="s">
        <v>35</v>
      </c>
      <c r="L23" t="s">
        <v>36</v>
      </c>
      <c r="M23">
        <v>0.21</v>
      </c>
      <c r="N23" t="s">
        <v>140</v>
      </c>
      <c r="O23">
        <v>6531.3389999999999</v>
      </c>
      <c r="P23" t="s">
        <v>141</v>
      </c>
    </row>
    <row r="24" spans="1:16" x14ac:dyDescent="0.45">
      <c r="A24" t="s">
        <v>142</v>
      </c>
      <c r="B24">
        <v>64</v>
      </c>
      <c r="C24" t="s">
        <v>83</v>
      </c>
      <c r="D24" t="s">
        <v>84</v>
      </c>
      <c r="E24">
        <v>3504.63</v>
      </c>
      <c r="F24">
        <v>7365.8</v>
      </c>
      <c r="G24" t="s">
        <v>19</v>
      </c>
      <c r="H24" s="1">
        <v>45456</v>
      </c>
      <c r="I24" s="1">
        <v>45618</v>
      </c>
      <c r="J24" t="s">
        <v>143</v>
      </c>
      <c r="K24" t="s">
        <v>35</v>
      </c>
      <c r="L24" t="s">
        <v>36</v>
      </c>
      <c r="M24">
        <v>0.34</v>
      </c>
      <c r="N24" t="s">
        <v>144</v>
      </c>
      <c r="O24" t="s">
        <v>145</v>
      </c>
      <c r="P24" t="s">
        <v>146</v>
      </c>
    </row>
    <row r="25" spans="1:16" x14ac:dyDescent="0.45">
      <c r="A25" t="s">
        <v>147</v>
      </c>
      <c r="B25">
        <v>41</v>
      </c>
      <c r="C25" t="s">
        <v>26</v>
      </c>
      <c r="D25" t="s">
        <v>67</v>
      </c>
      <c r="E25">
        <v>4584.46</v>
      </c>
      <c r="F25">
        <v>3722.65</v>
      </c>
      <c r="G25" t="s">
        <v>19</v>
      </c>
      <c r="H25" s="1">
        <v>45476</v>
      </c>
      <c r="I25" s="1">
        <v>45726</v>
      </c>
      <c r="J25" t="s">
        <v>148</v>
      </c>
      <c r="K25" t="s">
        <v>50</v>
      </c>
      <c r="L25" t="s">
        <v>43</v>
      </c>
      <c r="M25">
        <v>0.57999999999999996</v>
      </c>
      <c r="N25" t="s">
        <v>149</v>
      </c>
      <c r="O25" t="s">
        <v>150</v>
      </c>
      <c r="P25" t="s">
        <v>151</v>
      </c>
    </row>
    <row r="26" spans="1:16" x14ac:dyDescent="0.45">
      <c r="A26" t="s">
        <v>152</v>
      </c>
      <c r="B26">
        <v>39</v>
      </c>
      <c r="C26" t="s">
        <v>83</v>
      </c>
      <c r="D26" t="s">
        <v>41</v>
      </c>
      <c r="E26">
        <v>753.45</v>
      </c>
      <c r="F26">
        <v>3224.02</v>
      </c>
      <c r="G26" t="s">
        <v>19</v>
      </c>
      <c r="H26" s="1">
        <v>45325</v>
      </c>
      <c r="I26" s="1">
        <v>45374</v>
      </c>
      <c r="J26" t="s">
        <v>153</v>
      </c>
      <c r="K26" t="s">
        <v>21</v>
      </c>
      <c r="L26" t="s">
        <v>43</v>
      </c>
      <c r="M26">
        <v>0.23</v>
      </c>
      <c r="N26" t="s">
        <v>154</v>
      </c>
      <c r="O26" t="s">
        <v>155</v>
      </c>
      <c r="P26" t="s">
        <v>156</v>
      </c>
    </row>
    <row r="27" spans="1:16" x14ac:dyDescent="0.45">
      <c r="A27" t="s">
        <v>157</v>
      </c>
      <c r="B27">
        <v>66</v>
      </c>
      <c r="C27" t="s">
        <v>40</v>
      </c>
      <c r="D27" t="s">
        <v>33</v>
      </c>
      <c r="E27">
        <v>4141.34</v>
      </c>
      <c r="F27">
        <v>17117.54</v>
      </c>
      <c r="G27" t="s">
        <v>85</v>
      </c>
      <c r="H27" s="1">
        <v>44908</v>
      </c>
      <c r="I27" s="1">
        <v>45734</v>
      </c>
      <c r="J27" t="s">
        <v>158</v>
      </c>
      <c r="K27" t="s">
        <v>28</v>
      </c>
      <c r="L27" t="s">
        <v>43</v>
      </c>
      <c r="M27">
        <v>0.7</v>
      </c>
      <c r="N27" t="s">
        <v>159</v>
      </c>
      <c r="O27" t="s">
        <v>160</v>
      </c>
      <c r="P27" t="s">
        <v>161</v>
      </c>
    </row>
    <row r="28" spans="1:16" x14ac:dyDescent="0.45">
      <c r="A28" t="s">
        <v>162</v>
      </c>
      <c r="B28">
        <v>26</v>
      </c>
      <c r="C28" t="s">
        <v>48</v>
      </c>
      <c r="D28" t="s">
        <v>84</v>
      </c>
      <c r="E28">
        <v>461.95</v>
      </c>
      <c r="F28">
        <v>3177.46</v>
      </c>
      <c r="G28" t="s">
        <v>19</v>
      </c>
      <c r="H28" s="1">
        <v>45127</v>
      </c>
      <c r="I28" s="1">
        <v>45626</v>
      </c>
      <c r="J28" t="s">
        <v>163</v>
      </c>
      <c r="K28" t="s">
        <v>35</v>
      </c>
      <c r="L28" t="s">
        <v>22</v>
      </c>
      <c r="M28">
        <v>0.32</v>
      </c>
      <c r="N28" t="s">
        <v>164</v>
      </c>
      <c r="O28" t="s">
        <v>165</v>
      </c>
      <c r="P28" t="s">
        <v>166</v>
      </c>
    </row>
    <row r="29" spans="1:16" x14ac:dyDescent="0.45">
      <c r="A29" t="s">
        <v>167</v>
      </c>
      <c r="B29">
        <v>20</v>
      </c>
      <c r="C29" t="s">
        <v>26</v>
      </c>
      <c r="D29" t="s">
        <v>33</v>
      </c>
      <c r="E29">
        <v>2590.96</v>
      </c>
      <c r="F29">
        <v>18763.04</v>
      </c>
      <c r="G29" t="s">
        <v>19</v>
      </c>
      <c r="H29" s="1">
        <v>44805</v>
      </c>
      <c r="I29" s="1">
        <v>45280</v>
      </c>
      <c r="J29" t="s">
        <v>168</v>
      </c>
      <c r="K29" t="s">
        <v>28</v>
      </c>
      <c r="L29" t="s">
        <v>43</v>
      </c>
      <c r="M29">
        <v>0.16</v>
      </c>
      <c r="N29" t="s">
        <v>169</v>
      </c>
      <c r="O29" t="s">
        <v>170</v>
      </c>
      <c r="P29" t="s">
        <v>171</v>
      </c>
    </row>
    <row r="30" spans="1:16" x14ac:dyDescent="0.45">
      <c r="A30" t="s">
        <v>172</v>
      </c>
      <c r="B30">
        <v>45</v>
      </c>
      <c r="C30" t="s">
        <v>55</v>
      </c>
      <c r="D30" t="s">
        <v>41</v>
      </c>
      <c r="E30">
        <v>1739.08</v>
      </c>
      <c r="F30">
        <v>4375.84</v>
      </c>
      <c r="G30" t="s">
        <v>19</v>
      </c>
      <c r="H30" s="1">
        <v>44808</v>
      </c>
      <c r="I30" s="1">
        <v>45225</v>
      </c>
      <c r="J30" t="s">
        <v>173</v>
      </c>
      <c r="K30" t="s">
        <v>35</v>
      </c>
      <c r="L30" t="s">
        <v>36</v>
      </c>
      <c r="M30">
        <v>0.05</v>
      </c>
      <c r="N30" t="s">
        <v>174</v>
      </c>
      <c r="O30" t="s">
        <v>175</v>
      </c>
      <c r="P30" t="s">
        <v>176</v>
      </c>
    </row>
    <row r="31" spans="1:16" x14ac:dyDescent="0.45">
      <c r="A31" t="s">
        <v>177</v>
      </c>
      <c r="B31">
        <v>49</v>
      </c>
      <c r="C31" t="s">
        <v>66</v>
      </c>
      <c r="D31" t="s">
        <v>41</v>
      </c>
      <c r="E31">
        <v>3707.96</v>
      </c>
      <c r="F31">
        <v>14230.2</v>
      </c>
      <c r="G31" t="s">
        <v>104</v>
      </c>
      <c r="H31" s="1">
        <v>44931</v>
      </c>
      <c r="I31" s="1">
        <v>45180</v>
      </c>
      <c r="J31" t="s">
        <v>178</v>
      </c>
      <c r="K31" t="s">
        <v>28</v>
      </c>
      <c r="L31" t="s">
        <v>36</v>
      </c>
      <c r="M31">
        <v>0.98</v>
      </c>
      <c r="N31" t="s">
        <v>179</v>
      </c>
      <c r="O31" t="s">
        <v>180</v>
      </c>
      <c r="P31" t="s">
        <v>181</v>
      </c>
    </row>
    <row r="32" spans="1:16" x14ac:dyDescent="0.45">
      <c r="A32" t="s">
        <v>182</v>
      </c>
      <c r="B32">
        <v>59</v>
      </c>
      <c r="C32" t="s">
        <v>32</v>
      </c>
      <c r="D32" t="s">
        <v>67</v>
      </c>
      <c r="E32">
        <v>4735.18</v>
      </c>
      <c r="F32">
        <v>9508.34</v>
      </c>
      <c r="G32" t="s">
        <v>19</v>
      </c>
      <c r="H32" s="1">
        <v>44812</v>
      </c>
      <c r="I32" s="1">
        <v>44904</v>
      </c>
      <c r="J32" t="s">
        <v>183</v>
      </c>
      <c r="K32" t="s">
        <v>21</v>
      </c>
      <c r="L32" t="s">
        <v>22</v>
      </c>
      <c r="M32">
        <v>0.34</v>
      </c>
      <c r="N32" t="s">
        <v>184</v>
      </c>
      <c r="O32" t="s">
        <v>185</v>
      </c>
      <c r="P32" t="s">
        <v>186</v>
      </c>
    </row>
    <row r="33" spans="1:16" x14ac:dyDescent="0.45">
      <c r="A33" t="s">
        <v>187</v>
      </c>
      <c r="B33">
        <v>64</v>
      </c>
      <c r="C33" t="s">
        <v>55</v>
      </c>
      <c r="D33" t="s">
        <v>41</v>
      </c>
      <c r="E33">
        <v>1750.71</v>
      </c>
      <c r="F33">
        <v>4790.79</v>
      </c>
      <c r="G33" t="s">
        <v>19</v>
      </c>
      <c r="H33" s="1">
        <v>45476</v>
      </c>
      <c r="I33" s="1">
        <v>45514</v>
      </c>
      <c r="J33" t="s">
        <v>188</v>
      </c>
      <c r="K33" t="s">
        <v>35</v>
      </c>
      <c r="L33" t="s">
        <v>22</v>
      </c>
      <c r="M33">
        <v>0.12</v>
      </c>
      <c r="N33" t="s">
        <v>189</v>
      </c>
      <c r="O33" t="s">
        <v>190</v>
      </c>
      <c r="P33" t="s">
        <v>191</v>
      </c>
    </row>
    <row r="34" spans="1:16" x14ac:dyDescent="0.45">
      <c r="A34" t="s">
        <v>192</v>
      </c>
      <c r="B34">
        <v>56</v>
      </c>
      <c r="C34" t="s">
        <v>48</v>
      </c>
      <c r="D34" t="s">
        <v>41</v>
      </c>
      <c r="E34">
        <v>959.34</v>
      </c>
      <c r="F34">
        <v>16870.3</v>
      </c>
      <c r="G34" t="s">
        <v>19</v>
      </c>
      <c r="H34" s="1">
        <v>45209</v>
      </c>
      <c r="I34" s="1">
        <v>45541</v>
      </c>
      <c r="J34" t="s">
        <v>193</v>
      </c>
      <c r="K34" t="s">
        <v>35</v>
      </c>
      <c r="L34" t="s">
        <v>43</v>
      </c>
      <c r="M34">
        <v>0.78</v>
      </c>
      <c r="N34" t="s">
        <v>194</v>
      </c>
      <c r="O34" t="s">
        <v>195</v>
      </c>
      <c r="P34" t="s">
        <v>196</v>
      </c>
    </row>
    <row r="35" spans="1:16" x14ac:dyDescent="0.45">
      <c r="A35" t="s">
        <v>197</v>
      </c>
      <c r="B35">
        <v>20</v>
      </c>
      <c r="C35" t="s">
        <v>26</v>
      </c>
      <c r="D35" t="s">
        <v>41</v>
      </c>
      <c r="E35">
        <v>1963.26</v>
      </c>
      <c r="F35">
        <v>1147.4100000000001</v>
      </c>
      <c r="G35" t="s">
        <v>19</v>
      </c>
      <c r="H35" s="1">
        <v>45497</v>
      </c>
      <c r="I35" s="1">
        <v>45813</v>
      </c>
      <c r="J35" t="s">
        <v>198</v>
      </c>
      <c r="K35" t="s">
        <v>35</v>
      </c>
      <c r="L35" t="s">
        <v>36</v>
      </c>
      <c r="M35">
        <v>0.27</v>
      </c>
      <c r="N35" t="s">
        <v>199</v>
      </c>
      <c r="O35">
        <f>61-449-728-134</f>
        <v>-1250</v>
      </c>
      <c r="P35" t="s">
        <v>200</v>
      </c>
    </row>
    <row r="36" spans="1:16" x14ac:dyDescent="0.45">
      <c r="A36" t="s">
        <v>201</v>
      </c>
      <c r="B36">
        <v>20</v>
      </c>
      <c r="C36" t="s">
        <v>40</v>
      </c>
      <c r="D36" t="s">
        <v>41</v>
      </c>
      <c r="E36">
        <v>3107.41</v>
      </c>
      <c r="F36">
        <v>1215.92</v>
      </c>
      <c r="G36" t="s">
        <v>85</v>
      </c>
      <c r="H36" s="1">
        <v>45148</v>
      </c>
      <c r="I36" s="1">
        <v>45611</v>
      </c>
      <c r="J36" t="s">
        <v>202</v>
      </c>
      <c r="K36" t="s">
        <v>35</v>
      </c>
      <c r="L36" t="s">
        <v>36</v>
      </c>
      <c r="M36">
        <v>0.75</v>
      </c>
      <c r="N36" t="s">
        <v>203</v>
      </c>
      <c r="O36" t="s">
        <v>204</v>
      </c>
      <c r="P36" t="s">
        <v>205</v>
      </c>
    </row>
    <row r="37" spans="1:16" x14ac:dyDescent="0.45">
      <c r="A37" t="s">
        <v>206</v>
      </c>
      <c r="B37">
        <v>19</v>
      </c>
      <c r="C37" t="s">
        <v>83</v>
      </c>
      <c r="D37" t="s">
        <v>67</v>
      </c>
      <c r="E37">
        <v>1550.93</v>
      </c>
      <c r="F37">
        <v>6199.24</v>
      </c>
      <c r="G37" t="s">
        <v>19</v>
      </c>
      <c r="H37" s="1">
        <v>45350</v>
      </c>
      <c r="I37" s="1">
        <v>45757</v>
      </c>
      <c r="J37" t="s">
        <v>207</v>
      </c>
      <c r="K37" t="s">
        <v>21</v>
      </c>
      <c r="L37" t="s">
        <v>22</v>
      </c>
      <c r="M37">
        <v>0.54</v>
      </c>
      <c r="N37" t="s">
        <v>208</v>
      </c>
      <c r="O37" t="s">
        <v>209</v>
      </c>
      <c r="P37" t="s">
        <v>210</v>
      </c>
    </row>
    <row r="38" spans="1:16" x14ac:dyDescent="0.45">
      <c r="A38" t="s">
        <v>211</v>
      </c>
      <c r="B38">
        <v>37</v>
      </c>
      <c r="C38" t="s">
        <v>83</v>
      </c>
      <c r="D38" t="s">
        <v>84</v>
      </c>
      <c r="E38">
        <v>1814.65</v>
      </c>
      <c r="F38">
        <v>4436.04</v>
      </c>
      <c r="G38" t="s">
        <v>19</v>
      </c>
      <c r="H38" s="1">
        <v>45173</v>
      </c>
      <c r="I38" s="1">
        <v>45630</v>
      </c>
      <c r="J38" t="s">
        <v>212</v>
      </c>
      <c r="K38" t="s">
        <v>35</v>
      </c>
      <c r="L38" t="s">
        <v>43</v>
      </c>
      <c r="M38">
        <v>0.66</v>
      </c>
      <c r="N38" t="s">
        <v>213</v>
      </c>
      <c r="O38" t="s">
        <v>214</v>
      </c>
      <c r="P38" t="s">
        <v>215</v>
      </c>
    </row>
    <row r="39" spans="1:16" x14ac:dyDescent="0.45">
      <c r="A39" t="s">
        <v>216</v>
      </c>
      <c r="B39">
        <v>22</v>
      </c>
      <c r="C39" t="s">
        <v>55</v>
      </c>
      <c r="D39" t="s">
        <v>84</v>
      </c>
      <c r="E39">
        <v>939.04</v>
      </c>
      <c r="F39">
        <v>12102.01</v>
      </c>
      <c r="G39" t="s">
        <v>85</v>
      </c>
      <c r="H39" s="1">
        <v>45037</v>
      </c>
      <c r="I39" s="1">
        <v>45128</v>
      </c>
      <c r="J39" t="s">
        <v>217</v>
      </c>
      <c r="K39" t="s">
        <v>50</v>
      </c>
      <c r="L39" t="s">
        <v>36</v>
      </c>
      <c r="M39">
        <v>0.13</v>
      </c>
      <c r="N39" t="s">
        <v>218</v>
      </c>
      <c r="O39" t="s">
        <v>219</v>
      </c>
      <c r="P39" t="s">
        <v>220</v>
      </c>
    </row>
    <row r="40" spans="1:16" x14ac:dyDescent="0.45">
      <c r="A40" t="s">
        <v>221</v>
      </c>
      <c r="B40">
        <v>24</v>
      </c>
      <c r="C40" t="s">
        <v>17</v>
      </c>
      <c r="D40" t="s">
        <v>67</v>
      </c>
      <c r="E40">
        <v>2318.04</v>
      </c>
      <c r="F40">
        <v>3213.77</v>
      </c>
      <c r="G40" t="s">
        <v>104</v>
      </c>
      <c r="H40" s="1">
        <v>45319</v>
      </c>
      <c r="I40" s="1">
        <v>45795</v>
      </c>
      <c r="J40" t="s">
        <v>222</v>
      </c>
      <c r="K40" t="s">
        <v>28</v>
      </c>
      <c r="L40" t="s">
        <v>22</v>
      </c>
      <c r="M40">
        <v>0.49</v>
      </c>
      <c r="N40" t="s">
        <v>223</v>
      </c>
      <c r="O40">
        <v>61703127818</v>
      </c>
      <c r="P40" t="s">
        <v>224</v>
      </c>
    </row>
    <row r="41" spans="1:16" x14ac:dyDescent="0.45">
      <c r="A41" t="s">
        <v>225</v>
      </c>
      <c r="B41">
        <v>33</v>
      </c>
      <c r="C41" t="s">
        <v>55</v>
      </c>
      <c r="D41" t="s">
        <v>18</v>
      </c>
      <c r="E41">
        <v>2302.17</v>
      </c>
      <c r="F41">
        <v>11975.22</v>
      </c>
      <c r="G41" t="s">
        <v>19</v>
      </c>
      <c r="H41" s="1">
        <v>45166</v>
      </c>
      <c r="I41" s="1">
        <v>45778</v>
      </c>
      <c r="J41" t="s">
        <v>226</v>
      </c>
      <c r="K41" t="s">
        <v>28</v>
      </c>
      <c r="L41" t="s">
        <v>22</v>
      </c>
      <c r="M41">
        <v>0.03</v>
      </c>
      <c r="N41" t="s">
        <v>227</v>
      </c>
      <c r="O41">
        <v>835001108</v>
      </c>
      <c r="P41" t="s">
        <v>228</v>
      </c>
    </row>
    <row r="42" spans="1:16" x14ac:dyDescent="0.45">
      <c r="A42" t="s">
        <v>229</v>
      </c>
      <c r="B42">
        <v>72</v>
      </c>
      <c r="C42" t="s">
        <v>48</v>
      </c>
      <c r="D42" t="s">
        <v>18</v>
      </c>
      <c r="E42">
        <v>919.5</v>
      </c>
      <c r="F42">
        <v>129.72999999999999</v>
      </c>
      <c r="G42" t="s">
        <v>19</v>
      </c>
      <c r="H42" s="1">
        <v>44956</v>
      </c>
      <c r="I42" s="1">
        <v>45828</v>
      </c>
      <c r="J42" t="s">
        <v>230</v>
      </c>
      <c r="K42" t="s">
        <v>50</v>
      </c>
      <c r="L42" t="s">
        <v>43</v>
      </c>
      <c r="M42">
        <v>1</v>
      </c>
      <c r="N42" t="s">
        <v>231</v>
      </c>
      <c r="O42">
        <v>702706366</v>
      </c>
      <c r="P42" t="s">
        <v>232</v>
      </c>
    </row>
    <row r="43" spans="1:16" x14ac:dyDescent="0.45">
      <c r="A43" t="s">
        <v>233</v>
      </c>
      <c r="B43">
        <v>20</v>
      </c>
      <c r="C43" t="s">
        <v>66</v>
      </c>
      <c r="D43" t="s">
        <v>33</v>
      </c>
      <c r="E43">
        <v>1781.78</v>
      </c>
      <c r="F43">
        <v>7565.72</v>
      </c>
      <c r="G43" t="s">
        <v>19</v>
      </c>
      <c r="H43" s="1">
        <v>45382</v>
      </c>
      <c r="I43" s="1">
        <v>45723</v>
      </c>
      <c r="J43" t="s">
        <v>234</v>
      </c>
      <c r="K43" t="s">
        <v>28</v>
      </c>
      <c r="L43" t="s">
        <v>36</v>
      </c>
      <c r="M43">
        <v>0.11</v>
      </c>
      <c r="N43" t="s">
        <v>235</v>
      </c>
      <c r="O43" t="s">
        <v>236</v>
      </c>
      <c r="P43" t="s">
        <v>237</v>
      </c>
    </row>
    <row r="44" spans="1:16" x14ac:dyDescent="0.45">
      <c r="A44" t="s">
        <v>238</v>
      </c>
      <c r="B44">
        <v>33</v>
      </c>
      <c r="C44" t="s">
        <v>48</v>
      </c>
      <c r="D44" t="s">
        <v>41</v>
      </c>
      <c r="E44">
        <v>3590.08</v>
      </c>
      <c r="F44">
        <v>1931.59</v>
      </c>
      <c r="G44" t="s">
        <v>19</v>
      </c>
      <c r="H44" s="1">
        <v>44872</v>
      </c>
      <c r="I44" s="1">
        <v>45570</v>
      </c>
      <c r="J44" t="s">
        <v>239</v>
      </c>
      <c r="K44" t="s">
        <v>21</v>
      </c>
      <c r="L44" t="s">
        <v>22</v>
      </c>
      <c r="M44">
        <v>0.85</v>
      </c>
      <c r="N44" t="s">
        <v>240</v>
      </c>
      <c r="O44">
        <f>61-442-509-244</f>
        <v>-1134</v>
      </c>
      <c r="P44" t="s">
        <v>241</v>
      </c>
    </row>
    <row r="45" spans="1:16" x14ac:dyDescent="0.45">
      <c r="A45" t="s">
        <v>242</v>
      </c>
      <c r="B45">
        <v>20</v>
      </c>
      <c r="C45" t="s">
        <v>40</v>
      </c>
      <c r="D45" t="s">
        <v>33</v>
      </c>
      <c r="E45">
        <v>792</v>
      </c>
      <c r="F45">
        <v>12900.49</v>
      </c>
      <c r="G45" t="s">
        <v>19</v>
      </c>
      <c r="H45" s="1">
        <v>45472</v>
      </c>
      <c r="I45" s="1">
        <v>45497</v>
      </c>
      <c r="J45" t="s">
        <v>243</v>
      </c>
      <c r="K45" t="s">
        <v>21</v>
      </c>
      <c r="L45" t="s">
        <v>43</v>
      </c>
      <c r="M45">
        <v>0.78</v>
      </c>
      <c r="N45" t="s">
        <v>244</v>
      </c>
      <c r="O45" t="s">
        <v>245</v>
      </c>
      <c r="P45" t="s">
        <v>246</v>
      </c>
    </row>
    <row r="46" spans="1:16" x14ac:dyDescent="0.45">
      <c r="A46" t="s">
        <v>247</v>
      </c>
      <c r="B46">
        <v>49</v>
      </c>
      <c r="C46" t="s">
        <v>48</v>
      </c>
      <c r="D46" t="s">
        <v>33</v>
      </c>
      <c r="E46">
        <v>2725.24</v>
      </c>
      <c r="F46">
        <v>6834.66</v>
      </c>
      <c r="G46" t="s">
        <v>19</v>
      </c>
      <c r="H46" s="1">
        <v>44837</v>
      </c>
      <c r="I46" s="1">
        <v>45615</v>
      </c>
      <c r="J46" t="s">
        <v>248</v>
      </c>
      <c r="K46" t="s">
        <v>21</v>
      </c>
      <c r="L46" t="s">
        <v>22</v>
      </c>
      <c r="M46">
        <v>0.9</v>
      </c>
      <c r="N46" t="s">
        <v>249</v>
      </c>
      <c r="O46" t="s">
        <v>250</v>
      </c>
      <c r="P46" t="s">
        <v>251</v>
      </c>
    </row>
    <row r="47" spans="1:16" x14ac:dyDescent="0.45">
      <c r="A47" t="s">
        <v>252</v>
      </c>
      <c r="B47">
        <v>53</v>
      </c>
      <c r="C47" t="s">
        <v>32</v>
      </c>
      <c r="D47" t="s">
        <v>18</v>
      </c>
      <c r="E47">
        <v>4884.63</v>
      </c>
      <c r="F47">
        <v>1701.62</v>
      </c>
      <c r="G47" t="s">
        <v>85</v>
      </c>
      <c r="H47" s="1">
        <v>45140</v>
      </c>
      <c r="I47" s="1">
        <v>45523</v>
      </c>
      <c r="J47" t="s">
        <v>253</v>
      </c>
      <c r="K47" t="s">
        <v>50</v>
      </c>
      <c r="L47" t="s">
        <v>43</v>
      </c>
      <c r="M47">
        <v>0.72</v>
      </c>
      <c r="N47" t="s">
        <v>254</v>
      </c>
      <c r="O47">
        <v>59346494</v>
      </c>
      <c r="P47" t="s">
        <v>255</v>
      </c>
    </row>
    <row r="48" spans="1:16" x14ac:dyDescent="0.45">
      <c r="A48" t="s">
        <v>256</v>
      </c>
      <c r="B48">
        <v>43</v>
      </c>
      <c r="C48" t="s">
        <v>40</v>
      </c>
      <c r="D48" t="s">
        <v>33</v>
      </c>
      <c r="E48">
        <v>1877.22</v>
      </c>
      <c r="F48">
        <v>14493.26</v>
      </c>
      <c r="G48" t="s">
        <v>104</v>
      </c>
      <c r="H48" s="1">
        <v>45317</v>
      </c>
      <c r="I48" s="1">
        <v>45362</v>
      </c>
      <c r="J48" t="s">
        <v>257</v>
      </c>
      <c r="K48" t="s">
        <v>35</v>
      </c>
      <c r="L48" t="s">
        <v>22</v>
      </c>
      <c r="M48">
        <v>0.13</v>
      </c>
      <c r="N48" t="s">
        <v>258</v>
      </c>
      <c r="O48" t="s">
        <v>259</v>
      </c>
      <c r="P48" t="s">
        <v>260</v>
      </c>
    </row>
    <row r="49" spans="1:16" x14ac:dyDescent="0.45">
      <c r="A49" t="s">
        <v>261</v>
      </c>
      <c r="B49">
        <v>67</v>
      </c>
      <c r="C49" t="s">
        <v>32</v>
      </c>
      <c r="D49" t="s">
        <v>41</v>
      </c>
      <c r="E49">
        <v>746.27</v>
      </c>
      <c r="F49">
        <v>1473.59</v>
      </c>
      <c r="G49" t="s">
        <v>19</v>
      </c>
      <c r="H49" s="1">
        <v>45089</v>
      </c>
      <c r="I49" s="1">
        <v>45687</v>
      </c>
      <c r="J49" t="s">
        <v>262</v>
      </c>
      <c r="K49" t="s">
        <v>35</v>
      </c>
      <c r="L49" t="s">
        <v>22</v>
      </c>
      <c r="M49">
        <v>0.97</v>
      </c>
      <c r="N49" t="s">
        <v>263</v>
      </c>
      <c r="O49" t="s">
        <v>264</v>
      </c>
      <c r="P49" t="s">
        <v>265</v>
      </c>
    </row>
    <row r="50" spans="1:16" x14ac:dyDescent="0.45">
      <c r="A50" t="s">
        <v>266</v>
      </c>
      <c r="B50">
        <v>70</v>
      </c>
      <c r="C50" t="s">
        <v>26</v>
      </c>
      <c r="D50" t="s">
        <v>41</v>
      </c>
      <c r="E50">
        <v>3024.43</v>
      </c>
      <c r="F50">
        <v>9362.3700000000008</v>
      </c>
      <c r="G50" t="s">
        <v>19</v>
      </c>
      <c r="H50" s="1">
        <v>45432</v>
      </c>
      <c r="I50" s="1">
        <v>45699</v>
      </c>
      <c r="J50" t="s">
        <v>267</v>
      </c>
      <c r="K50" t="s">
        <v>28</v>
      </c>
      <c r="L50" t="s">
        <v>43</v>
      </c>
      <c r="M50">
        <v>0.49</v>
      </c>
      <c r="N50" t="s">
        <v>268</v>
      </c>
      <c r="O50">
        <v>47856768</v>
      </c>
      <c r="P50" t="s">
        <v>269</v>
      </c>
    </row>
    <row r="51" spans="1:16" x14ac:dyDescent="0.45">
      <c r="A51" t="s">
        <v>270</v>
      </c>
      <c r="B51">
        <v>24</v>
      </c>
      <c r="C51" t="s">
        <v>17</v>
      </c>
      <c r="D51" t="s">
        <v>84</v>
      </c>
      <c r="E51">
        <v>1395.96</v>
      </c>
      <c r="F51">
        <v>15553.99</v>
      </c>
      <c r="G51" t="s">
        <v>19</v>
      </c>
      <c r="H51" s="1">
        <v>44819</v>
      </c>
      <c r="I51" s="1">
        <v>45618</v>
      </c>
      <c r="J51" t="s">
        <v>271</v>
      </c>
      <c r="K51" t="s">
        <v>28</v>
      </c>
      <c r="L51" t="s">
        <v>36</v>
      </c>
      <c r="M51">
        <v>0.37</v>
      </c>
      <c r="N51" t="s">
        <v>272</v>
      </c>
      <c r="O51">
        <v>242011581</v>
      </c>
      <c r="P51" t="s">
        <v>273</v>
      </c>
    </row>
    <row r="52" spans="1:16" x14ac:dyDescent="0.45">
      <c r="A52" t="s">
        <v>274</v>
      </c>
      <c r="B52">
        <v>41</v>
      </c>
      <c r="C52" t="s">
        <v>26</v>
      </c>
      <c r="D52" t="s">
        <v>84</v>
      </c>
      <c r="E52">
        <v>3584.29</v>
      </c>
      <c r="F52">
        <v>9777.86</v>
      </c>
      <c r="G52" t="s">
        <v>104</v>
      </c>
      <c r="H52" s="1">
        <v>45417</v>
      </c>
      <c r="I52" s="1">
        <v>45586</v>
      </c>
      <c r="J52" t="s">
        <v>275</v>
      </c>
      <c r="K52" t="s">
        <v>50</v>
      </c>
      <c r="L52" t="s">
        <v>22</v>
      </c>
      <c r="M52">
        <v>0.19</v>
      </c>
      <c r="N52" t="s">
        <v>276</v>
      </c>
      <c r="O52" t="s">
        <v>277</v>
      </c>
      <c r="P52" t="s">
        <v>278</v>
      </c>
    </row>
    <row r="53" spans="1:16" x14ac:dyDescent="0.45">
      <c r="A53" t="s">
        <v>279</v>
      </c>
      <c r="B53">
        <v>68</v>
      </c>
      <c r="C53" t="s">
        <v>32</v>
      </c>
      <c r="D53" t="s">
        <v>18</v>
      </c>
      <c r="E53">
        <v>3758.75</v>
      </c>
      <c r="F53">
        <v>18179.61</v>
      </c>
      <c r="G53" t="s">
        <v>104</v>
      </c>
      <c r="H53" s="1">
        <v>45444</v>
      </c>
      <c r="I53" s="1">
        <v>45649</v>
      </c>
      <c r="J53" t="s">
        <v>280</v>
      </c>
      <c r="K53" t="s">
        <v>50</v>
      </c>
      <c r="L53" t="s">
        <v>43</v>
      </c>
      <c r="M53">
        <v>0.1</v>
      </c>
      <c r="N53" t="s">
        <v>281</v>
      </c>
      <c r="O53">
        <v>2300.6992</v>
      </c>
      <c r="P53" t="s">
        <v>282</v>
      </c>
    </row>
    <row r="54" spans="1:16" x14ac:dyDescent="0.45">
      <c r="A54" t="s">
        <v>283</v>
      </c>
      <c r="B54">
        <v>20</v>
      </c>
      <c r="C54" t="s">
        <v>66</v>
      </c>
      <c r="D54" t="s">
        <v>41</v>
      </c>
      <c r="E54">
        <v>1941.84</v>
      </c>
      <c r="F54">
        <v>143.57</v>
      </c>
      <c r="G54" t="s">
        <v>19</v>
      </c>
      <c r="H54" s="1">
        <v>45387</v>
      </c>
      <c r="I54" s="1">
        <v>45618</v>
      </c>
      <c r="J54" t="s">
        <v>284</v>
      </c>
      <c r="K54" t="s">
        <v>28</v>
      </c>
      <c r="L54" t="s">
        <v>36</v>
      </c>
      <c r="M54">
        <v>0.9</v>
      </c>
      <c r="N54" t="s">
        <v>285</v>
      </c>
      <c r="O54">
        <f>61-2-7155-8920</f>
        <v>-16016</v>
      </c>
      <c r="P54" t="s">
        <v>286</v>
      </c>
    </row>
    <row r="55" spans="1:16" x14ac:dyDescent="0.45">
      <c r="A55" t="s">
        <v>287</v>
      </c>
      <c r="B55">
        <v>28</v>
      </c>
      <c r="C55" t="s">
        <v>32</v>
      </c>
      <c r="D55" t="s">
        <v>33</v>
      </c>
      <c r="E55">
        <v>1629.55</v>
      </c>
      <c r="F55">
        <v>10725.9</v>
      </c>
      <c r="G55" t="s">
        <v>19</v>
      </c>
      <c r="H55" s="1">
        <v>45124</v>
      </c>
      <c r="I55" s="1">
        <v>45815</v>
      </c>
      <c r="J55" t="s">
        <v>288</v>
      </c>
      <c r="K55" t="s">
        <v>28</v>
      </c>
      <c r="L55" t="s">
        <v>36</v>
      </c>
      <c r="M55">
        <v>0.93</v>
      </c>
      <c r="N55" t="s">
        <v>289</v>
      </c>
      <c r="O55" t="s">
        <v>290</v>
      </c>
      <c r="P55" t="s">
        <v>291</v>
      </c>
    </row>
    <row r="56" spans="1:16" x14ac:dyDescent="0.45">
      <c r="A56" t="s">
        <v>292</v>
      </c>
      <c r="B56">
        <v>50</v>
      </c>
      <c r="C56" t="s">
        <v>83</v>
      </c>
      <c r="D56" t="s">
        <v>84</v>
      </c>
      <c r="E56">
        <v>4463.54</v>
      </c>
      <c r="F56">
        <v>4170.12</v>
      </c>
      <c r="G56" t="s">
        <v>19</v>
      </c>
      <c r="H56" s="1">
        <v>45292</v>
      </c>
      <c r="I56" s="1">
        <v>45305</v>
      </c>
      <c r="J56" t="s">
        <v>293</v>
      </c>
      <c r="K56" t="s">
        <v>21</v>
      </c>
      <c r="L56" t="s">
        <v>22</v>
      </c>
      <c r="M56">
        <v>0.8</v>
      </c>
      <c r="N56" t="s">
        <v>294</v>
      </c>
      <c r="O56">
        <v>388349449</v>
      </c>
      <c r="P56" t="s">
        <v>295</v>
      </c>
    </row>
    <row r="57" spans="1:16" x14ac:dyDescent="0.45">
      <c r="A57" t="s">
        <v>296</v>
      </c>
      <c r="B57">
        <v>34</v>
      </c>
      <c r="C57" t="s">
        <v>26</v>
      </c>
      <c r="D57" t="s">
        <v>67</v>
      </c>
      <c r="E57">
        <v>3478.49</v>
      </c>
      <c r="F57">
        <v>1729.71</v>
      </c>
      <c r="G57" t="s">
        <v>19</v>
      </c>
      <c r="H57" s="1">
        <v>44933</v>
      </c>
      <c r="I57" s="1">
        <v>45698</v>
      </c>
      <c r="J57" t="s">
        <v>297</v>
      </c>
      <c r="K57" t="s">
        <v>50</v>
      </c>
      <c r="L57" t="s">
        <v>43</v>
      </c>
      <c r="M57">
        <v>0.59</v>
      </c>
      <c r="N57" t="s">
        <v>298</v>
      </c>
      <c r="O57">
        <f>61-443-467-29</f>
        <v>-878</v>
      </c>
      <c r="P57" t="s">
        <v>299</v>
      </c>
    </row>
    <row r="58" spans="1:16" x14ac:dyDescent="0.45">
      <c r="A58" t="s">
        <v>300</v>
      </c>
      <c r="B58">
        <v>65</v>
      </c>
      <c r="C58" t="s">
        <v>26</v>
      </c>
      <c r="D58" t="s">
        <v>41</v>
      </c>
      <c r="E58">
        <v>2562.7199999999998</v>
      </c>
      <c r="F58">
        <v>19579.55</v>
      </c>
      <c r="G58" t="s">
        <v>19</v>
      </c>
      <c r="H58" s="1">
        <v>45059</v>
      </c>
      <c r="I58" s="1">
        <v>45112</v>
      </c>
      <c r="J58" t="s">
        <v>301</v>
      </c>
      <c r="K58" t="s">
        <v>28</v>
      </c>
      <c r="L58" t="s">
        <v>43</v>
      </c>
      <c r="M58">
        <v>0.42</v>
      </c>
      <c r="N58" t="s">
        <v>302</v>
      </c>
      <c r="O58" t="s">
        <v>303</v>
      </c>
      <c r="P58" t="s">
        <v>304</v>
      </c>
    </row>
    <row r="59" spans="1:16" x14ac:dyDescent="0.45">
      <c r="A59" t="s">
        <v>305</v>
      </c>
      <c r="B59">
        <v>37</v>
      </c>
      <c r="C59" t="s">
        <v>32</v>
      </c>
      <c r="D59" t="s">
        <v>33</v>
      </c>
      <c r="E59">
        <v>3730.75</v>
      </c>
      <c r="F59">
        <v>19398.28</v>
      </c>
      <c r="G59" t="s">
        <v>85</v>
      </c>
      <c r="H59" s="1">
        <v>44915</v>
      </c>
      <c r="I59" s="1">
        <v>45754</v>
      </c>
      <c r="J59" t="s">
        <v>306</v>
      </c>
      <c r="K59" t="s">
        <v>21</v>
      </c>
      <c r="L59" t="s">
        <v>36</v>
      </c>
      <c r="M59">
        <v>0.79</v>
      </c>
      <c r="N59" t="s">
        <v>307</v>
      </c>
      <c r="O59" t="s">
        <v>308</v>
      </c>
      <c r="P59" t="s">
        <v>309</v>
      </c>
    </row>
    <row r="60" spans="1:16" x14ac:dyDescent="0.45">
      <c r="A60" t="s">
        <v>310</v>
      </c>
      <c r="B60">
        <v>37</v>
      </c>
      <c r="C60" t="s">
        <v>83</v>
      </c>
      <c r="D60" t="s">
        <v>18</v>
      </c>
      <c r="E60">
        <v>3364.59</v>
      </c>
      <c r="F60">
        <v>11939.27</v>
      </c>
      <c r="G60" t="s">
        <v>19</v>
      </c>
      <c r="H60" s="1">
        <v>45417</v>
      </c>
      <c r="I60" s="1">
        <v>45426</v>
      </c>
      <c r="J60" t="s">
        <v>311</v>
      </c>
      <c r="K60" t="s">
        <v>21</v>
      </c>
      <c r="L60" t="s">
        <v>36</v>
      </c>
      <c r="M60">
        <v>0.75</v>
      </c>
      <c r="N60" t="s">
        <v>312</v>
      </c>
      <c r="O60" t="s">
        <v>313</v>
      </c>
      <c r="P60" t="s">
        <v>314</v>
      </c>
    </row>
    <row r="61" spans="1:16" x14ac:dyDescent="0.45">
      <c r="A61" t="s">
        <v>315</v>
      </c>
      <c r="B61">
        <v>53</v>
      </c>
      <c r="C61" t="s">
        <v>17</v>
      </c>
      <c r="D61" t="s">
        <v>67</v>
      </c>
      <c r="E61">
        <v>3947.6</v>
      </c>
      <c r="F61">
        <v>6540.75</v>
      </c>
      <c r="G61" t="s">
        <v>85</v>
      </c>
      <c r="H61" s="1">
        <v>45040</v>
      </c>
      <c r="I61" s="1">
        <v>45463</v>
      </c>
      <c r="J61" t="s">
        <v>316</v>
      </c>
      <c r="K61" t="s">
        <v>50</v>
      </c>
      <c r="L61" t="s">
        <v>22</v>
      </c>
      <c r="M61">
        <v>0.26</v>
      </c>
      <c r="N61" t="s">
        <v>317</v>
      </c>
      <c r="O61" t="s">
        <v>318</v>
      </c>
      <c r="P61" t="s">
        <v>319</v>
      </c>
    </row>
    <row r="62" spans="1:16" x14ac:dyDescent="0.45">
      <c r="A62" t="s">
        <v>320</v>
      </c>
      <c r="B62">
        <v>62</v>
      </c>
      <c r="C62" t="s">
        <v>83</v>
      </c>
      <c r="D62" t="s">
        <v>18</v>
      </c>
      <c r="E62">
        <v>4513.49</v>
      </c>
      <c r="F62">
        <v>1234.47</v>
      </c>
      <c r="G62" t="s">
        <v>19</v>
      </c>
      <c r="H62" s="1">
        <v>45096</v>
      </c>
      <c r="I62" s="1">
        <v>45583</v>
      </c>
      <c r="J62" t="s">
        <v>321</v>
      </c>
      <c r="K62" t="s">
        <v>21</v>
      </c>
      <c r="L62" t="s">
        <v>36</v>
      </c>
      <c r="M62">
        <v>0.36</v>
      </c>
      <c r="N62" t="s">
        <v>322</v>
      </c>
      <c r="O62" t="s">
        <v>323</v>
      </c>
      <c r="P62" t="s">
        <v>324</v>
      </c>
    </row>
    <row r="63" spans="1:16" x14ac:dyDescent="0.45">
      <c r="A63" t="s">
        <v>325</v>
      </c>
      <c r="B63">
        <v>56</v>
      </c>
      <c r="C63" t="s">
        <v>26</v>
      </c>
      <c r="D63" t="s">
        <v>84</v>
      </c>
      <c r="E63">
        <v>2380.0300000000002</v>
      </c>
      <c r="F63">
        <v>7910.44</v>
      </c>
      <c r="G63" t="s">
        <v>85</v>
      </c>
      <c r="H63" s="1">
        <v>45433</v>
      </c>
      <c r="I63" s="1">
        <v>45447</v>
      </c>
      <c r="J63" t="s">
        <v>326</v>
      </c>
      <c r="K63" t="s">
        <v>21</v>
      </c>
      <c r="L63" t="s">
        <v>43</v>
      </c>
      <c r="M63">
        <v>0.4</v>
      </c>
      <c r="N63" t="s">
        <v>327</v>
      </c>
      <c r="O63" t="s">
        <v>328</v>
      </c>
      <c r="P63" t="s">
        <v>329</v>
      </c>
    </row>
    <row r="64" spans="1:16" x14ac:dyDescent="0.45">
      <c r="A64" t="s">
        <v>330</v>
      </c>
      <c r="B64">
        <v>65</v>
      </c>
      <c r="C64" t="s">
        <v>32</v>
      </c>
      <c r="D64" t="s">
        <v>67</v>
      </c>
      <c r="E64">
        <v>3429.84</v>
      </c>
      <c r="F64">
        <v>16253.63</v>
      </c>
      <c r="G64" t="s">
        <v>19</v>
      </c>
      <c r="H64" s="1">
        <v>45142</v>
      </c>
      <c r="I64" s="1">
        <v>45456</v>
      </c>
      <c r="J64" t="s">
        <v>331</v>
      </c>
      <c r="K64" t="s">
        <v>28</v>
      </c>
      <c r="L64" t="s">
        <v>36</v>
      </c>
      <c r="M64">
        <v>0.75</v>
      </c>
      <c r="N64" t="s">
        <v>332</v>
      </c>
      <c r="O64" t="s">
        <v>333</v>
      </c>
      <c r="P64" t="s">
        <v>334</v>
      </c>
    </row>
    <row r="65" spans="1:16" x14ac:dyDescent="0.45">
      <c r="A65" t="s">
        <v>335</v>
      </c>
      <c r="B65">
        <v>39</v>
      </c>
      <c r="C65" t="s">
        <v>55</v>
      </c>
      <c r="D65" t="s">
        <v>67</v>
      </c>
      <c r="E65">
        <v>4499.92</v>
      </c>
      <c r="F65">
        <v>4671.6400000000003</v>
      </c>
      <c r="G65" t="s">
        <v>85</v>
      </c>
      <c r="H65" s="1">
        <v>45426</v>
      </c>
      <c r="I65" s="1">
        <v>45630</v>
      </c>
      <c r="J65" t="s">
        <v>336</v>
      </c>
      <c r="K65" t="s">
        <v>35</v>
      </c>
      <c r="L65" t="s">
        <v>22</v>
      </c>
      <c r="M65">
        <v>0.54</v>
      </c>
      <c r="N65" t="s">
        <v>337</v>
      </c>
      <c r="O65">
        <f>61-424-820-705</f>
        <v>-1888</v>
      </c>
      <c r="P65" t="s">
        <v>338</v>
      </c>
    </row>
    <row r="66" spans="1:16" x14ac:dyDescent="0.45">
      <c r="A66" t="s">
        <v>339</v>
      </c>
      <c r="B66">
        <v>21</v>
      </c>
      <c r="C66" t="s">
        <v>55</v>
      </c>
      <c r="D66" t="s">
        <v>84</v>
      </c>
      <c r="E66">
        <v>4501.5</v>
      </c>
      <c r="F66">
        <v>13603.2</v>
      </c>
      <c r="G66" t="s">
        <v>104</v>
      </c>
      <c r="H66" s="1">
        <v>45277</v>
      </c>
      <c r="I66" s="1">
        <v>45837</v>
      </c>
      <c r="J66" t="s">
        <v>340</v>
      </c>
      <c r="K66" t="s">
        <v>35</v>
      </c>
      <c r="L66" t="s">
        <v>36</v>
      </c>
      <c r="M66">
        <v>0.65</v>
      </c>
      <c r="N66" t="s">
        <v>341</v>
      </c>
      <c r="O66">
        <v>98730099</v>
      </c>
      <c r="P66" t="s">
        <v>342</v>
      </c>
    </row>
    <row r="67" spans="1:16" x14ac:dyDescent="0.45">
      <c r="A67" t="s">
        <v>343</v>
      </c>
      <c r="B67">
        <v>37</v>
      </c>
      <c r="C67" t="s">
        <v>48</v>
      </c>
      <c r="D67" t="s">
        <v>41</v>
      </c>
      <c r="E67">
        <v>2301.62</v>
      </c>
      <c r="F67">
        <v>16608.37</v>
      </c>
      <c r="G67" t="s">
        <v>19</v>
      </c>
      <c r="H67" s="1">
        <v>45486</v>
      </c>
      <c r="I67" s="1">
        <v>45735</v>
      </c>
      <c r="J67" t="s">
        <v>344</v>
      </c>
      <c r="K67" t="s">
        <v>50</v>
      </c>
      <c r="L67" t="s">
        <v>43</v>
      </c>
      <c r="M67">
        <v>0.02</v>
      </c>
      <c r="N67" t="s">
        <v>345</v>
      </c>
      <c r="O67" t="s">
        <v>346</v>
      </c>
      <c r="P67" t="s">
        <v>347</v>
      </c>
    </row>
    <row r="68" spans="1:16" x14ac:dyDescent="0.45">
      <c r="A68" t="s">
        <v>348</v>
      </c>
      <c r="B68">
        <v>42</v>
      </c>
      <c r="C68" t="s">
        <v>17</v>
      </c>
      <c r="D68" t="s">
        <v>67</v>
      </c>
      <c r="E68">
        <v>4430.25</v>
      </c>
      <c r="F68">
        <v>10816.14</v>
      </c>
      <c r="G68" t="s">
        <v>19</v>
      </c>
      <c r="H68" s="1">
        <v>44802</v>
      </c>
      <c r="I68" s="1">
        <v>45061</v>
      </c>
      <c r="J68" t="s">
        <v>349</v>
      </c>
      <c r="K68" t="s">
        <v>50</v>
      </c>
      <c r="L68" t="s">
        <v>43</v>
      </c>
      <c r="M68">
        <v>1</v>
      </c>
      <c r="N68" t="s">
        <v>350</v>
      </c>
      <c r="O68">
        <v>747534630</v>
      </c>
      <c r="P68" t="s">
        <v>351</v>
      </c>
    </row>
    <row r="69" spans="1:16" x14ac:dyDescent="0.45">
      <c r="A69" t="s">
        <v>352</v>
      </c>
      <c r="B69">
        <v>70</v>
      </c>
      <c r="C69" t="s">
        <v>26</v>
      </c>
      <c r="D69" t="s">
        <v>67</v>
      </c>
      <c r="E69">
        <v>2380.15</v>
      </c>
      <c r="F69">
        <v>8776.42</v>
      </c>
      <c r="G69" t="s">
        <v>104</v>
      </c>
      <c r="H69" s="1">
        <v>44949</v>
      </c>
      <c r="I69" s="1">
        <v>45560</v>
      </c>
      <c r="J69" t="s">
        <v>353</v>
      </c>
      <c r="K69" t="s">
        <v>28</v>
      </c>
      <c r="L69" t="s">
        <v>36</v>
      </c>
      <c r="M69">
        <v>0.66</v>
      </c>
      <c r="N69" t="s">
        <v>354</v>
      </c>
      <c r="O69" t="s">
        <v>355</v>
      </c>
      <c r="P69" t="s">
        <v>356</v>
      </c>
    </row>
    <row r="70" spans="1:16" x14ac:dyDescent="0.45">
      <c r="A70" t="s">
        <v>357</v>
      </c>
      <c r="B70">
        <v>73</v>
      </c>
      <c r="C70" t="s">
        <v>40</v>
      </c>
      <c r="D70" t="s">
        <v>84</v>
      </c>
      <c r="E70">
        <v>2885.84</v>
      </c>
      <c r="F70">
        <v>14722.6</v>
      </c>
      <c r="G70" t="s">
        <v>19</v>
      </c>
      <c r="H70" s="1">
        <v>44814</v>
      </c>
      <c r="I70" s="1">
        <v>45080</v>
      </c>
      <c r="J70" t="s">
        <v>358</v>
      </c>
      <c r="K70" t="s">
        <v>50</v>
      </c>
      <c r="L70" t="s">
        <v>43</v>
      </c>
      <c r="M70">
        <v>0.92</v>
      </c>
      <c r="N70" t="s">
        <v>359</v>
      </c>
      <c r="O70">
        <v>61830557494</v>
      </c>
      <c r="P70" t="s">
        <v>360</v>
      </c>
    </row>
    <row r="71" spans="1:16" x14ac:dyDescent="0.45">
      <c r="A71" t="s">
        <v>361</v>
      </c>
      <c r="B71">
        <v>52</v>
      </c>
      <c r="C71" t="s">
        <v>83</v>
      </c>
      <c r="D71" t="s">
        <v>41</v>
      </c>
      <c r="E71">
        <v>566.24</v>
      </c>
      <c r="F71">
        <v>11484.1</v>
      </c>
      <c r="G71" t="s">
        <v>104</v>
      </c>
      <c r="H71" s="1">
        <v>45237</v>
      </c>
      <c r="I71" s="1">
        <v>45291</v>
      </c>
      <c r="J71" t="s">
        <v>362</v>
      </c>
      <c r="K71" t="s">
        <v>50</v>
      </c>
      <c r="L71" t="s">
        <v>22</v>
      </c>
      <c r="M71">
        <v>0.93</v>
      </c>
      <c r="N71" t="s">
        <v>363</v>
      </c>
      <c r="O71" t="s">
        <v>364</v>
      </c>
      <c r="P71" t="s">
        <v>365</v>
      </c>
    </row>
    <row r="72" spans="1:16" x14ac:dyDescent="0.45">
      <c r="A72" t="s">
        <v>366</v>
      </c>
      <c r="B72">
        <v>54</v>
      </c>
      <c r="C72" t="s">
        <v>66</v>
      </c>
      <c r="D72" t="s">
        <v>67</v>
      </c>
      <c r="E72">
        <v>1815.71</v>
      </c>
      <c r="F72">
        <v>951.93</v>
      </c>
      <c r="G72" t="s">
        <v>104</v>
      </c>
      <c r="H72" s="1">
        <v>44930</v>
      </c>
      <c r="I72" s="1">
        <v>45001</v>
      </c>
      <c r="J72" t="s">
        <v>367</v>
      </c>
      <c r="K72" t="s">
        <v>21</v>
      </c>
      <c r="L72" t="s">
        <v>43</v>
      </c>
      <c r="M72">
        <v>0.84</v>
      </c>
      <c r="N72" t="s">
        <v>368</v>
      </c>
      <c r="O72" t="s">
        <v>369</v>
      </c>
      <c r="P72" t="s">
        <v>370</v>
      </c>
    </row>
    <row r="73" spans="1:16" x14ac:dyDescent="0.45">
      <c r="A73" t="s">
        <v>371</v>
      </c>
      <c r="B73">
        <v>56</v>
      </c>
      <c r="C73" t="s">
        <v>83</v>
      </c>
      <c r="D73" t="s">
        <v>41</v>
      </c>
      <c r="E73">
        <v>3344.8</v>
      </c>
      <c r="F73">
        <v>1258.33</v>
      </c>
      <c r="G73" t="s">
        <v>19</v>
      </c>
      <c r="H73" s="1">
        <v>45497</v>
      </c>
      <c r="I73" s="1">
        <v>45531</v>
      </c>
      <c r="J73" t="s">
        <v>372</v>
      </c>
      <c r="K73" t="s">
        <v>28</v>
      </c>
      <c r="L73" t="s">
        <v>43</v>
      </c>
      <c r="M73">
        <v>0</v>
      </c>
      <c r="N73" t="s">
        <v>373</v>
      </c>
      <c r="O73">
        <v>61286393922</v>
      </c>
      <c r="P73" t="s">
        <v>374</v>
      </c>
    </row>
    <row r="74" spans="1:16" x14ac:dyDescent="0.45">
      <c r="A74" t="s">
        <v>375</v>
      </c>
      <c r="B74">
        <v>43</v>
      </c>
      <c r="C74" t="s">
        <v>66</v>
      </c>
      <c r="D74" t="s">
        <v>67</v>
      </c>
      <c r="E74">
        <v>2744.65</v>
      </c>
      <c r="F74">
        <v>13185.87</v>
      </c>
      <c r="G74" t="s">
        <v>19</v>
      </c>
      <c r="H74" s="1">
        <v>45093</v>
      </c>
      <c r="I74" s="1">
        <v>45288</v>
      </c>
      <c r="J74" t="s">
        <v>376</v>
      </c>
      <c r="K74" t="s">
        <v>35</v>
      </c>
      <c r="L74" t="s">
        <v>43</v>
      </c>
      <c r="M74">
        <v>0.78</v>
      </c>
      <c r="N74" t="s">
        <v>377</v>
      </c>
      <c r="O74" t="s">
        <v>378</v>
      </c>
      <c r="P74" t="s">
        <v>379</v>
      </c>
    </row>
    <row r="75" spans="1:16" x14ac:dyDescent="0.45">
      <c r="A75" t="s">
        <v>380</v>
      </c>
      <c r="B75">
        <v>36</v>
      </c>
      <c r="C75" t="s">
        <v>83</v>
      </c>
      <c r="D75" t="s">
        <v>84</v>
      </c>
      <c r="E75">
        <v>2695.46</v>
      </c>
      <c r="F75">
        <v>1014.1</v>
      </c>
      <c r="G75" t="s">
        <v>104</v>
      </c>
      <c r="H75" s="1">
        <v>45153</v>
      </c>
      <c r="I75" s="1">
        <v>45246</v>
      </c>
      <c r="J75" t="s">
        <v>381</v>
      </c>
      <c r="K75" t="s">
        <v>50</v>
      </c>
      <c r="L75" t="s">
        <v>22</v>
      </c>
      <c r="M75">
        <v>0.76</v>
      </c>
      <c r="N75" t="s">
        <v>382</v>
      </c>
      <c r="O75" t="s">
        <v>383</v>
      </c>
      <c r="P75" t="s">
        <v>384</v>
      </c>
    </row>
    <row r="76" spans="1:16" x14ac:dyDescent="0.45">
      <c r="A76" t="s">
        <v>385</v>
      </c>
      <c r="B76">
        <v>59</v>
      </c>
      <c r="C76" t="s">
        <v>48</v>
      </c>
      <c r="D76" t="s">
        <v>84</v>
      </c>
      <c r="E76">
        <v>2794.78</v>
      </c>
      <c r="F76">
        <v>3310.09</v>
      </c>
      <c r="G76" t="s">
        <v>19</v>
      </c>
      <c r="H76" s="1">
        <v>45369</v>
      </c>
      <c r="I76" s="1">
        <v>45491</v>
      </c>
      <c r="J76" t="s">
        <v>386</v>
      </c>
      <c r="K76" t="s">
        <v>28</v>
      </c>
      <c r="L76" t="s">
        <v>22</v>
      </c>
      <c r="M76">
        <v>0.48</v>
      </c>
      <c r="N76" t="s">
        <v>387</v>
      </c>
      <c r="O76" t="s">
        <v>388</v>
      </c>
      <c r="P76" t="s">
        <v>389</v>
      </c>
    </row>
    <row r="77" spans="1:16" x14ac:dyDescent="0.45">
      <c r="A77" t="s">
        <v>390</v>
      </c>
      <c r="B77">
        <v>62</v>
      </c>
      <c r="C77" t="s">
        <v>55</v>
      </c>
      <c r="D77" t="s">
        <v>84</v>
      </c>
      <c r="E77">
        <v>1409.63</v>
      </c>
      <c r="F77">
        <v>9887.2800000000007</v>
      </c>
      <c r="G77" t="s">
        <v>104</v>
      </c>
      <c r="H77" s="1">
        <v>45192</v>
      </c>
      <c r="I77" s="1">
        <v>45234</v>
      </c>
      <c r="J77" t="s">
        <v>391</v>
      </c>
      <c r="K77" t="s">
        <v>28</v>
      </c>
      <c r="L77" t="s">
        <v>43</v>
      </c>
      <c r="M77">
        <v>0.37</v>
      </c>
      <c r="N77" t="s">
        <v>392</v>
      </c>
      <c r="O77">
        <v>61864309866</v>
      </c>
      <c r="P77" t="s">
        <v>393</v>
      </c>
    </row>
    <row r="78" spans="1:16" x14ac:dyDescent="0.45">
      <c r="A78" t="s">
        <v>394</v>
      </c>
      <c r="B78">
        <v>51</v>
      </c>
      <c r="C78" t="s">
        <v>55</v>
      </c>
      <c r="D78" t="s">
        <v>18</v>
      </c>
      <c r="E78">
        <v>781.88</v>
      </c>
      <c r="F78">
        <v>18543.29</v>
      </c>
      <c r="G78" t="s">
        <v>104</v>
      </c>
      <c r="H78" s="1">
        <v>45412</v>
      </c>
      <c r="I78" s="1">
        <v>45522</v>
      </c>
      <c r="J78" t="s">
        <v>395</v>
      </c>
      <c r="K78" t="s">
        <v>35</v>
      </c>
      <c r="L78" t="s">
        <v>22</v>
      </c>
      <c r="M78">
        <v>0.76</v>
      </c>
      <c r="N78" t="s">
        <v>396</v>
      </c>
      <c r="O78" t="s">
        <v>397</v>
      </c>
      <c r="P78" t="s">
        <v>398</v>
      </c>
    </row>
    <row r="79" spans="1:16" x14ac:dyDescent="0.45">
      <c r="A79" t="s">
        <v>399</v>
      </c>
      <c r="B79">
        <v>31</v>
      </c>
      <c r="C79" t="s">
        <v>83</v>
      </c>
      <c r="D79" t="s">
        <v>84</v>
      </c>
      <c r="E79">
        <v>4762.01</v>
      </c>
      <c r="F79">
        <v>16389.96</v>
      </c>
      <c r="G79" t="s">
        <v>19</v>
      </c>
      <c r="H79" s="1">
        <v>44989</v>
      </c>
      <c r="I79" s="1">
        <v>45774</v>
      </c>
      <c r="J79" t="s">
        <v>400</v>
      </c>
      <c r="K79" t="s">
        <v>28</v>
      </c>
      <c r="L79" t="s">
        <v>22</v>
      </c>
      <c r="M79">
        <v>0.67</v>
      </c>
      <c r="N79" t="s">
        <v>401</v>
      </c>
      <c r="O79" t="s">
        <v>402</v>
      </c>
      <c r="P79" t="s">
        <v>403</v>
      </c>
    </row>
    <row r="80" spans="1:16" x14ac:dyDescent="0.45">
      <c r="A80" t="s">
        <v>404</v>
      </c>
      <c r="B80">
        <v>72</v>
      </c>
      <c r="C80" t="s">
        <v>48</v>
      </c>
      <c r="D80" t="s">
        <v>67</v>
      </c>
      <c r="E80">
        <v>828.03</v>
      </c>
      <c r="F80">
        <v>453.7</v>
      </c>
      <c r="G80" t="s">
        <v>19</v>
      </c>
      <c r="H80" s="1">
        <v>44882</v>
      </c>
      <c r="I80" s="1">
        <v>45146</v>
      </c>
      <c r="J80" t="s">
        <v>405</v>
      </c>
      <c r="K80" t="s">
        <v>50</v>
      </c>
      <c r="L80" t="s">
        <v>43</v>
      </c>
      <c r="M80">
        <v>0.92</v>
      </c>
      <c r="N80" t="s">
        <v>406</v>
      </c>
      <c r="O80" t="s">
        <v>407</v>
      </c>
      <c r="P80" t="s">
        <v>408</v>
      </c>
    </row>
    <row r="81" spans="1:16" x14ac:dyDescent="0.45">
      <c r="A81" t="s">
        <v>409</v>
      </c>
      <c r="B81">
        <v>50</v>
      </c>
      <c r="C81" t="s">
        <v>83</v>
      </c>
      <c r="D81" t="s">
        <v>67</v>
      </c>
      <c r="E81">
        <v>3138.15</v>
      </c>
      <c r="F81">
        <v>10252.02</v>
      </c>
      <c r="G81" t="s">
        <v>19</v>
      </c>
      <c r="H81" s="1">
        <v>45302</v>
      </c>
      <c r="I81" s="1">
        <v>45602</v>
      </c>
      <c r="J81" t="s">
        <v>410</v>
      </c>
      <c r="K81" t="s">
        <v>50</v>
      </c>
      <c r="L81" t="s">
        <v>22</v>
      </c>
      <c r="M81">
        <v>0.73</v>
      </c>
      <c r="N81" t="s">
        <v>411</v>
      </c>
      <c r="O81" t="s">
        <v>412</v>
      </c>
      <c r="P81" t="s">
        <v>413</v>
      </c>
    </row>
    <row r="82" spans="1:16" x14ac:dyDescent="0.45">
      <c r="A82" t="s">
        <v>414</v>
      </c>
      <c r="B82">
        <v>35</v>
      </c>
      <c r="C82" t="s">
        <v>55</v>
      </c>
      <c r="D82" t="s">
        <v>67</v>
      </c>
      <c r="E82">
        <v>3231.56</v>
      </c>
      <c r="F82">
        <v>6006</v>
      </c>
      <c r="G82" t="s">
        <v>19</v>
      </c>
      <c r="H82" s="1">
        <v>45281</v>
      </c>
      <c r="I82" s="1">
        <v>45711</v>
      </c>
      <c r="J82" t="s">
        <v>415</v>
      </c>
      <c r="K82" t="s">
        <v>35</v>
      </c>
      <c r="L82" t="s">
        <v>43</v>
      </c>
      <c r="M82">
        <v>0.51</v>
      </c>
      <c r="N82" t="s">
        <v>416</v>
      </c>
      <c r="O82" t="s">
        <v>417</v>
      </c>
      <c r="P82" t="s">
        <v>418</v>
      </c>
    </row>
    <row r="83" spans="1:16" x14ac:dyDescent="0.45">
      <c r="A83" t="s">
        <v>419</v>
      </c>
      <c r="B83">
        <v>60</v>
      </c>
      <c r="C83" t="s">
        <v>83</v>
      </c>
      <c r="D83" t="s">
        <v>67</v>
      </c>
      <c r="E83">
        <v>3712.74</v>
      </c>
      <c r="F83">
        <v>4962.25</v>
      </c>
      <c r="G83" t="s">
        <v>85</v>
      </c>
      <c r="H83" s="1">
        <v>45225</v>
      </c>
      <c r="I83" s="1">
        <v>45397</v>
      </c>
      <c r="J83" t="s">
        <v>420</v>
      </c>
      <c r="K83" t="s">
        <v>50</v>
      </c>
      <c r="L83" t="s">
        <v>36</v>
      </c>
      <c r="M83">
        <v>0.86</v>
      </c>
      <c r="N83" t="s">
        <v>421</v>
      </c>
      <c r="O83">
        <v>61747526972</v>
      </c>
      <c r="P83" t="s">
        <v>422</v>
      </c>
    </row>
    <row r="84" spans="1:16" x14ac:dyDescent="0.45">
      <c r="A84" t="s">
        <v>423</v>
      </c>
      <c r="B84">
        <v>19</v>
      </c>
      <c r="C84" t="s">
        <v>40</v>
      </c>
      <c r="D84" t="s">
        <v>67</v>
      </c>
      <c r="E84">
        <v>435.33</v>
      </c>
      <c r="F84">
        <v>2270.7800000000002</v>
      </c>
      <c r="G84" t="s">
        <v>19</v>
      </c>
      <c r="H84" s="1">
        <v>45011</v>
      </c>
      <c r="I84" s="1">
        <v>45256</v>
      </c>
      <c r="J84" t="s">
        <v>424</v>
      </c>
      <c r="K84" t="s">
        <v>35</v>
      </c>
      <c r="L84" t="s">
        <v>43</v>
      </c>
      <c r="M84">
        <v>0.39</v>
      </c>
      <c r="N84" t="s">
        <v>425</v>
      </c>
      <c r="O84">
        <v>61820683080</v>
      </c>
      <c r="P84" t="s">
        <v>426</v>
      </c>
    </row>
    <row r="85" spans="1:16" x14ac:dyDescent="0.45">
      <c r="A85" t="s">
        <v>427</v>
      </c>
      <c r="B85">
        <v>33</v>
      </c>
      <c r="C85" t="s">
        <v>66</v>
      </c>
      <c r="D85" t="s">
        <v>84</v>
      </c>
      <c r="E85">
        <v>4744.29</v>
      </c>
      <c r="F85">
        <v>290.81</v>
      </c>
      <c r="G85" t="s">
        <v>104</v>
      </c>
      <c r="H85" s="1">
        <v>45220</v>
      </c>
      <c r="I85" s="1">
        <v>45250</v>
      </c>
      <c r="J85" t="s">
        <v>428</v>
      </c>
      <c r="K85" t="s">
        <v>35</v>
      </c>
      <c r="L85" t="s">
        <v>43</v>
      </c>
      <c r="M85">
        <v>0.77</v>
      </c>
      <c r="N85" t="s">
        <v>429</v>
      </c>
      <c r="O85" t="s">
        <v>430</v>
      </c>
      <c r="P85" t="s">
        <v>431</v>
      </c>
    </row>
    <row r="86" spans="1:16" x14ac:dyDescent="0.45">
      <c r="A86" t="s">
        <v>432</v>
      </c>
      <c r="B86">
        <v>27</v>
      </c>
      <c r="C86" t="s">
        <v>26</v>
      </c>
      <c r="D86" t="s">
        <v>33</v>
      </c>
      <c r="E86">
        <v>1954.96</v>
      </c>
      <c r="F86">
        <v>14107.56</v>
      </c>
      <c r="G86" t="s">
        <v>19</v>
      </c>
      <c r="H86" s="1">
        <v>45111</v>
      </c>
      <c r="I86" s="1">
        <v>45565</v>
      </c>
      <c r="J86" t="s">
        <v>433</v>
      </c>
      <c r="K86" t="s">
        <v>50</v>
      </c>
      <c r="L86" t="s">
        <v>36</v>
      </c>
      <c r="M86">
        <v>0.34</v>
      </c>
      <c r="N86" t="s">
        <v>434</v>
      </c>
      <c r="O86" t="s">
        <v>435</v>
      </c>
      <c r="P86" t="s">
        <v>436</v>
      </c>
    </row>
    <row r="87" spans="1:16" x14ac:dyDescent="0.45">
      <c r="A87" t="s">
        <v>437</v>
      </c>
      <c r="B87">
        <v>41</v>
      </c>
      <c r="C87" t="s">
        <v>32</v>
      </c>
      <c r="D87" t="s">
        <v>18</v>
      </c>
      <c r="E87">
        <v>4597.75</v>
      </c>
      <c r="F87">
        <v>829.49</v>
      </c>
      <c r="G87" t="s">
        <v>85</v>
      </c>
      <c r="H87" s="1">
        <v>44939</v>
      </c>
      <c r="I87" s="1">
        <v>45031</v>
      </c>
      <c r="J87" t="s">
        <v>438</v>
      </c>
      <c r="K87" t="s">
        <v>28</v>
      </c>
      <c r="L87" t="s">
        <v>36</v>
      </c>
      <c r="M87">
        <v>0.53</v>
      </c>
      <c r="N87" t="s">
        <v>439</v>
      </c>
      <c r="O87" t="s">
        <v>440</v>
      </c>
      <c r="P87" t="s">
        <v>441</v>
      </c>
    </row>
    <row r="88" spans="1:16" x14ac:dyDescent="0.45">
      <c r="A88" t="s">
        <v>442</v>
      </c>
      <c r="B88">
        <v>52</v>
      </c>
      <c r="C88" t="s">
        <v>32</v>
      </c>
      <c r="D88" t="s">
        <v>18</v>
      </c>
      <c r="E88">
        <v>435.21</v>
      </c>
      <c r="F88">
        <v>413.28</v>
      </c>
      <c r="G88" t="s">
        <v>19</v>
      </c>
      <c r="H88" s="1">
        <v>45382</v>
      </c>
      <c r="I88" s="1">
        <v>45661</v>
      </c>
      <c r="J88" t="s">
        <v>443</v>
      </c>
      <c r="K88" t="s">
        <v>50</v>
      </c>
      <c r="L88" t="s">
        <v>22</v>
      </c>
      <c r="M88">
        <v>0.43</v>
      </c>
      <c r="N88" t="s">
        <v>444</v>
      </c>
      <c r="O88" t="s">
        <v>445</v>
      </c>
      <c r="P88" t="s">
        <v>446</v>
      </c>
    </row>
    <row r="89" spans="1:16" x14ac:dyDescent="0.45">
      <c r="A89" t="s">
        <v>447</v>
      </c>
      <c r="B89">
        <v>46</v>
      </c>
      <c r="C89" t="s">
        <v>40</v>
      </c>
      <c r="D89" t="s">
        <v>18</v>
      </c>
      <c r="E89">
        <v>4106.62</v>
      </c>
      <c r="F89">
        <v>4929.4399999999996</v>
      </c>
      <c r="G89" t="s">
        <v>19</v>
      </c>
      <c r="H89" s="1">
        <v>44840</v>
      </c>
      <c r="I89" s="1">
        <v>45042</v>
      </c>
      <c r="J89" t="s">
        <v>448</v>
      </c>
      <c r="K89" t="s">
        <v>28</v>
      </c>
      <c r="L89" t="s">
        <v>43</v>
      </c>
      <c r="M89">
        <v>0.49</v>
      </c>
      <c r="N89" t="s">
        <v>449</v>
      </c>
      <c r="O89">
        <v>61730526505</v>
      </c>
      <c r="P89" t="s">
        <v>450</v>
      </c>
    </row>
    <row r="90" spans="1:16" x14ac:dyDescent="0.45">
      <c r="A90" t="s">
        <v>451</v>
      </c>
      <c r="B90">
        <v>64</v>
      </c>
      <c r="C90" t="s">
        <v>32</v>
      </c>
      <c r="D90" t="s">
        <v>33</v>
      </c>
      <c r="E90">
        <v>4044.37</v>
      </c>
      <c r="F90">
        <v>15675.34</v>
      </c>
      <c r="G90" t="s">
        <v>19</v>
      </c>
      <c r="H90" s="1">
        <v>45325</v>
      </c>
      <c r="I90" s="1">
        <v>45482</v>
      </c>
      <c r="J90" t="s">
        <v>452</v>
      </c>
      <c r="K90" t="s">
        <v>28</v>
      </c>
      <c r="L90" t="s">
        <v>36</v>
      </c>
      <c r="M90">
        <v>0.9</v>
      </c>
      <c r="N90" t="s">
        <v>453</v>
      </c>
      <c r="O90" t="s">
        <v>454</v>
      </c>
      <c r="P90" t="s">
        <v>455</v>
      </c>
    </row>
    <row r="91" spans="1:16" x14ac:dyDescent="0.45">
      <c r="A91" t="s">
        <v>456</v>
      </c>
      <c r="B91">
        <v>23</v>
      </c>
      <c r="C91" t="s">
        <v>40</v>
      </c>
      <c r="D91" t="s">
        <v>41</v>
      </c>
      <c r="E91">
        <v>488.55</v>
      </c>
      <c r="F91">
        <v>3608.42</v>
      </c>
      <c r="G91" t="s">
        <v>85</v>
      </c>
      <c r="H91" s="1">
        <v>45111</v>
      </c>
      <c r="I91" s="1">
        <v>45315</v>
      </c>
      <c r="J91" t="s">
        <v>457</v>
      </c>
      <c r="K91" t="s">
        <v>28</v>
      </c>
      <c r="L91" t="s">
        <v>43</v>
      </c>
      <c r="M91">
        <v>0.47</v>
      </c>
      <c r="N91" t="s">
        <v>458</v>
      </c>
      <c r="O91" t="s">
        <v>459</v>
      </c>
      <c r="P91" t="s">
        <v>460</v>
      </c>
    </row>
    <row r="92" spans="1:16" x14ac:dyDescent="0.45">
      <c r="A92" t="s">
        <v>461</v>
      </c>
      <c r="B92">
        <v>58</v>
      </c>
      <c r="C92" t="s">
        <v>40</v>
      </c>
      <c r="D92" t="s">
        <v>67</v>
      </c>
      <c r="E92">
        <v>2612.4699999999998</v>
      </c>
      <c r="F92">
        <v>7894.25</v>
      </c>
      <c r="G92" t="s">
        <v>19</v>
      </c>
      <c r="H92" s="1">
        <v>45396</v>
      </c>
      <c r="I92" s="1">
        <v>45544</v>
      </c>
      <c r="J92" t="s">
        <v>462</v>
      </c>
      <c r="K92" t="s">
        <v>50</v>
      </c>
      <c r="L92" t="s">
        <v>43</v>
      </c>
      <c r="M92">
        <v>0.86</v>
      </c>
      <c r="N92" t="s">
        <v>463</v>
      </c>
      <c r="O92" t="s">
        <v>464</v>
      </c>
      <c r="P92" t="s">
        <v>465</v>
      </c>
    </row>
    <row r="93" spans="1:16" x14ac:dyDescent="0.45">
      <c r="A93" t="s">
        <v>466</v>
      </c>
      <c r="B93">
        <v>40</v>
      </c>
      <c r="C93" t="s">
        <v>48</v>
      </c>
      <c r="D93" t="s">
        <v>67</v>
      </c>
      <c r="E93">
        <v>3143.14</v>
      </c>
      <c r="F93">
        <v>13370.16</v>
      </c>
      <c r="G93" t="s">
        <v>85</v>
      </c>
      <c r="H93" s="1">
        <v>45487</v>
      </c>
      <c r="I93" s="1">
        <v>45746</v>
      </c>
      <c r="J93" t="s">
        <v>467</v>
      </c>
      <c r="K93" t="s">
        <v>21</v>
      </c>
      <c r="L93" t="s">
        <v>36</v>
      </c>
      <c r="M93">
        <v>0.88</v>
      </c>
      <c r="N93" t="s">
        <v>468</v>
      </c>
      <c r="O93" t="s">
        <v>469</v>
      </c>
      <c r="P93" t="s">
        <v>470</v>
      </c>
    </row>
    <row r="94" spans="1:16" x14ac:dyDescent="0.45">
      <c r="A94" t="s">
        <v>471</v>
      </c>
      <c r="B94">
        <v>57</v>
      </c>
      <c r="C94" t="s">
        <v>40</v>
      </c>
      <c r="D94" t="s">
        <v>33</v>
      </c>
      <c r="E94">
        <v>3629.75</v>
      </c>
      <c r="F94">
        <v>1423.78</v>
      </c>
      <c r="G94" t="s">
        <v>104</v>
      </c>
      <c r="H94" s="1">
        <v>44996</v>
      </c>
      <c r="I94" s="1">
        <v>45129</v>
      </c>
      <c r="J94" t="s">
        <v>472</v>
      </c>
      <c r="K94" t="s">
        <v>50</v>
      </c>
      <c r="L94" t="s">
        <v>43</v>
      </c>
      <c r="M94">
        <v>0.05</v>
      </c>
      <c r="N94" t="s">
        <v>473</v>
      </c>
      <c r="O94">
        <v>80917883</v>
      </c>
      <c r="P94" t="s">
        <v>474</v>
      </c>
    </row>
    <row r="95" spans="1:16" x14ac:dyDescent="0.45">
      <c r="A95" t="s">
        <v>475</v>
      </c>
      <c r="B95">
        <v>49</v>
      </c>
      <c r="C95" t="s">
        <v>55</v>
      </c>
      <c r="D95" t="s">
        <v>41</v>
      </c>
      <c r="E95">
        <v>3583.36</v>
      </c>
      <c r="F95">
        <v>4507.33</v>
      </c>
      <c r="G95" t="s">
        <v>19</v>
      </c>
      <c r="H95" s="1">
        <v>45424</v>
      </c>
      <c r="I95" s="1">
        <v>45428</v>
      </c>
      <c r="J95" t="s">
        <v>476</v>
      </c>
      <c r="K95" t="s">
        <v>21</v>
      </c>
      <c r="L95" t="s">
        <v>22</v>
      </c>
      <c r="M95">
        <v>0.25</v>
      </c>
      <c r="N95" t="s">
        <v>477</v>
      </c>
      <c r="O95" t="s">
        <v>478</v>
      </c>
      <c r="P95" t="s">
        <v>479</v>
      </c>
    </row>
    <row r="96" spans="1:16" x14ac:dyDescent="0.45">
      <c r="A96" t="s">
        <v>480</v>
      </c>
      <c r="B96">
        <v>48</v>
      </c>
      <c r="C96" t="s">
        <v>55</v>
      </c>
      <c r="D96" t="s">
        <v>84</v>
      </c>
      <c r="E96">
        <v>3645.56</v>
      </c>
      <c r="F96">
        <v>3969.07</v>
      </c>
      <c r="G96" t="s">
        <v>19</v>
      </c>
      <c r="H96" s="1">
        <v>45135</v>
      </c>
      <c r="I96" s="1">
        <v>45796</v>
      </c>
      <c r="J96" t="s">
        <v>481</v>
      </c>
      <c r="K96" t="s">
        <v>50</v>
      </c>
      <c r="L96" t="s">
        <v>22</v>
      </c>
      <c r="M96">
        <v>0.98</v>
      </c>
      <c r="N96" t="s">
        <v>482</v>
      </c>
      <c r="O96" t="s">
        <v>483</v>
      </c>
      <c r="P96" t="s">
        <v>484</v>
      </c>
    </row>
    <row r="97" spans="1:16" x14ac:dyDescent="0.45">
      <c r="A97" t="s">
        <v>485</v>
      </c>
      <c r="B97">
        <v>52</v>
      </c>
      <c r="C97" t="s">
        <v>17</v>
      </c>
      <c r="D97" t="s">
        <v>33</v>
      </c>
      <c r="E97">
        <v>3287.92</v>
      </c>
      <c r="F97">
        <v>7411.7</v>
      </c>
      <c r="G97" t="s">
        <v>19</v>
      </c>
      <c r="H97" s="1">
        <v>45384</v>
      </c>
      <c r="I97" s="1">
        <v>45439</v>
      </c>
      <c r="J97" t="s">
        <v>486</v>
      </c>
      <c r="K97" t="s">
        <v>28</v>
      </c>
      <c r="L97" t="s">
        <v>22</v>
      </c>
      <c r="M97">
        <v>0.02</v>
      </c>
      <c r="N97" t="s">
        <v>487</v>
      </c>
      <c r="O97" t="s">
        <v>488</v>
      </c>
      <c r="P97" t="s">
        <v>489</v>
      </c>
    </row>
    <row r="98" spans="1:16" x14ac:dyDescent="0.45">
      <c r="A98" t="s">
        <v>490</v>
      </c>
      <c r="B98">
        <v>55</v>
      </c>
      <c r="C98" t="s">
        <v>55</v>
      </c>
      <c r="D98" t="s">
        <v>41</v>
      </c>
      <c r="E98">
        <v>4806.84</v>
      </c>
      <c r="F98">
        <v>16174.14</v>
      </c>
      <c r="G98" t="s">
        <v>19</v>
      </c>
      <c r="H98" s="1">
        <v>45394</v>
      </c>
      <c r="I98" s="1">
        <v>45499</v>
      </c>
      <c r="J98" t="s">
        <v>491</v>
      </c>
      <c r="K98" t="s">
        <v>50</v>
      </c>
      <c r="L98" t="s">
        <v>36</v>
      </c>
      <c r="M98">
        <v>0.69</v>
      </c>
      <c r="N98" t="s">
        <v>492</v>
      </c>
      <c r="O98" t="s">
        <v>493</v>
      </c>
      <c r="P98" t="s">
        <v>494</v>
      </c>
    </row>
    <row r="99" spans="1:16" x14ac:dyDescent="0.45">
      <c r="A99" t="s">
        <v>495</v>
      </c>
      <c r="B99">
        <v>22</v>
      </c>
      <c r="C99" t="s">
        <v>17</v>
      </c>
      <c r="D99" t="s">
        <v>67</v>
      </c>
      <c r="E99">
        <v>2578.21</v>
      </c>
      <c r="F99">
        <v>18260.580000000002</v>
      </c>
      <c r="G99" t="s">
        <v>19</v>
      </c>
      <c r="H99" s="1">
        <v>45049</v>
      </c>
      <c r="I99" s="1">
        <v>45442</v>
      </c>
      <c r="J99" t="s">
        <v>496</v>
      </c>
      <c r="K99" t="s">
        <v>21</v>
      </c>
      <c r="L99" t="s">
        <v>43</v>
      </c>
      <c r="M99">
        <v>0.76</v>
      </c>
      <c r="N99" t="s">
        <v>497</v>
      </c>
      <c r="O99" t="s">
        <v>498</v>
      </c>
      <c r="P99" t="s">
        <v>499</v>
      </c>
    </row>
    <row r="100" spans="1:16" x14ac:dyDescent="0.45">
      <c r="A100" t="s">
        <v>500</v>
      </c>
      <c r="B100">
        <v>44</v>
      </c>
      <c r="C100" t="s">
        <v>26</v>
      </c>
      <c r="D100" t="s">
        <v>18</v>
      </c>
      <c r="E100">
        <v>3901.72</v>
      </c>
      <c r="F100">
        <v>13837.11</v>
      </c>
      <c r="G100" t="s">
        <v>85</v>
      </c>
      <c r="H100" s="1">
        <v>44931</v>
      </c>
      <c r="I100" s="1">
        <v>45517</v>
      </c>
      <c r="J100" t="s">
        <v>501</v>
      </c>
      <c r="K100" t="s">
        <v>28</v>
      </c>
      <c r="L100" t="s">
        <v>22</v>
      </c>
      <c r="M100">
        <v>0.51</v>
      </c>
      <c r="N100" t="s">
        <v>502</v>
      </c>
      <c r="O100" t="s">
        <v>503</v>
      </c>
      <c r="P100" t="s">
        <v>504</v>
      </c>
    </row>
    <row r="101" spans="1:16" x14ac:dyDescent="0.45">
      <c r="A101" t="s">
        <v>505</v>
      </c>
      <c r="B101">
        <v>43</v>
      </c>
      <c r="C101" t="s">
        <v>83</v>
      </c>
      <c r="D101" t="s">
        <v>67</v>
      </c>
      <c r="E101">
        <v>530.72</v>
      </c>
      <c r="F101">
        <v>11668.22</v>
      </c>
      <c r="G101" t="s">
        <v>85</v>
      </c>
      <c r="H101" s="1">
        <v>45373</v>
      </c>
      <c r="I101" s="1">
        <v>45723</v>
      </c>
      <c r="J101" t="s">
        <v>506</v>
      </c>
      <c r="K101" t="s">
        <v>28</v>
      </c>
      <c r="L101" t="s">
        <v>43</v>
      </c>
      <c r="M101">
        <v>0.06</v>
      </c>
      <c r="N101" t="s">
        <v>507</v>
      </c>
      <c r="O101" t="s">
        <v>508</v>
      </c>
      <c r="P101" t="s">
        <v>509</v>
      </c>
    </row>
    <row r="102" spans="1:16" x14ac:dyDescent="0.45">
      <c r="A102" t="s">
        <v>510</v>
      </c>
      <c r="B102">
        <v>53</v>
      </c>
      <c r="C102" t="s">
        <v>66</v>
      </c>
      <c r="D102" t="s">
        <v>33</v>
      </c>
      <c r="E102">
        <v>2404.42</v>
      </c>
      <c r="F102">
        <v>15993.84</v>
      </c>
      <c r="G102" t="s">
        <v>104</v>
      </c>
      <c r="H102" s="1">
        <v>44946</v>
      </c>
      <c r="I102" s="1">
        <v>45416</v>
      </c>
      <c r="J102" t="s">
        <v>511</v>
      </c>
      <c r="K102" t="s">
        <v>21</v>
      </c>
      <c r="L102" t="s">
        <v>43</v>
      </c>
      <c r="M102">
        <v>0.46</v>
      </c>
      <c r="N102" t="s">
        <v>512</v>
      </c>
      <c r="O102" t="s">
        <v>513</v>
      </c>
      <c r="P102" t="s">
        <v>514</v>
      </c>
    </row>
    <row r="103" spans="1:16" x14ac:dyDescent="0.45">
      <c r="A103" t="s">
        <v>515</v>
      </c>
      <c r="B103">
        <v>27</v>
      </c>
      <c r="C103" t="s">
        <v>17</v>
      </c>
      <c r="D103" t="s">
        <v>33</v>
      </c>
      <c r="E103">
        <v>3615.11</v>
      </c>
      <c r="F103">
        <v>6758.85</v>
      </c>
      <c r="G103" t="s">
        <v>85</v>
      </c>
      <c r="H103" s="1">
        <v>45243</v>
      </c>
      <c r="I103" s="1">
        <v>45524</v>
      </c>
      <c r="J103" t="s">
        <v>516</v>
      </c>
      <c r="K103" t="s">
        <v>21</v>
      </c>
      <c r="L103" t="s">
        <v>36</v>
      </c>
      <c r="M103">
        <v>0.32</v>
      </c>
      <c r="N103" t="s">
        <v>517</v>
      </c>
      <c r="O103" t="s">
        <v>518</v>
      </c>
      <c r="P103" t="s">
        <v>519</v>
      </c>
    </row>
    <row r="104" spans="1:16" x14ac:dyDescent="0.45">
      <c r="A104" t="s">
        <v>520</v>
      </c>
      <c r="B104">
        <v>65</v>
      </c>
      <c r="C104" t="s">
        <v>55</v>
      </c>
      <c r="D104" t="s">
        <v>18</v>
      </c>
      <c r="E104">
        <v>4913.5200000000004</v>
      </c>
      <c r="F104">
        <v>4936.25</v>
      </c>
      <c r="G104" t="s">
        <v>19</v>
      </c>
      <c r="H104" s="1">
        <v>45284</v>
      </c>
      <c r="I104" s="1">
        <v>45588</v>
      </c>
      <c r="J104" t="s">
        <v>521</v>
      </c>
      <c r="K104" t="s">
        <v>28</v>
      </c>
      <c r="L104" t="s">
        <v>36</v>
      </c>
      <c r="M104">
        <v>0.7</v>
      </c>
      <c r="N104" t="s">
        <v>522</v>
      </c>
      <c r="O104">
        <v>61354186554</v>
      </c>
      <c r="P104" t="s">
        <v>523</v>
      </c>
    </row>
    <row r="105" spans="1:16" x14ac:dyDescent="0.45">
      <c r="A105" t="s">
        <v>524</v>
      </c>
      <c r="B105">
        <v>66</v>
      </c>
      <c r="C105" t="s">
        <v>40</v>
      </c>
      <c r="D105" t="s">
        <v>67</v>
      </c>
      <c r="E105">
        <v>4544.4799999999996</v>
      </c>
      <c r="F105">
        <v>7373.56</v>
      </c>
      <c r="G105" t="s">
        <v>19</v>
      </c>
      <c r="H105" s="1">
        <v>45148</v>
      </c>
      <c r="I105" s="1">
        <v>45508</v>
      </c>
      <c r="J105" t="s">
        <v>525</v>
      </c>
      <c r="K105" t="s">
        <v>28</v>
      </c>
      <c r="L105" t="s">
        <v>36</v>
      </c>
      <c r="M105">
        <v>0.88</v>
      </c>
      <c r="N105" t="s">
        <v>526</v>
      </c>
      <c r="O105">
        <v>4323.9672</v>
      </c>
      <c r="P105" t="s">
        <v>527</v>
      </c>
    </row>
    <row r="106" spans="1:16" x14ac:dyDescent="0.45">
      <c r="A106" t="s">
        <v>528</v>
      </c>
      <c r="B106">
        <v>62</v>
      </c>
      <c r="C106" t="s">
        <v>40</v>
      </c>
      <c r="D106" t="s">
        <v>41</v>
      </c>
      <c r="E106">
        <v>2717.66</v>
      </c>
      <c r="F106">
        <v>5446.52</v>
      </c>
      <c r="G106" t="s">
        <v>85</v>
      </c>
      <c r="H106" s="1">
        <v>45352</v>
      </c>
      <c r="I106" s="1">
        <v>45847</v>
      </c>
      <c r="J106" t="s">
        <v>529</v>
      </c>
      <c r="K106" t="s">
        <v>28</v>
      </c>
      <c r="L106" t="s">
        <v>36</v>
      </c>
      <c r="M106">
        <v>0.04</v>
      </c>
      <c r="N106" t="s">
        <v>530</v>
      </c>
      <c r="O106" t="s">
        <v>531</v>
      </c>
      <c r="P106" t="s">
        <v>532</v>
      </c>
    </row>
    <row r="107" spans="1:16" x14ac:dyDescent="0.45">
      <c r="A107" t="s">
        <v>533</v>
      </c>
      <c r="B107">
        <v>30</v>
      </c>
      <c r="C107" t="s">
        <v>66</v>
      </c>
      <c r="D107" t="s">
        <v>84</v>
      </c>
      <c r="E107">
        <v>546.79999999999995</v>
      </c>
      <c r="F107">
        <v>2595.0700000000002</v>
      </c>
      <c r="G107" t="s">
        <v>19</v>
      </c>
      <c r="H107" s="1">
        <v>45017</v>
      </c>
      <c r="I107" s="1">
        <v>45700</v>
      </c>
      <c r="J107" t="s">
        <v>534</v>
      </c>
      <c r="K107" t="s">
        <v>35</v>
      </c>
      <c r="L107" t="s">
        <v>43</v>
      </c>
      <c r="M107">
        <v>0.37</v>
      </c>
      <c r="N107" t="s">
        <v>535</v>
      </c>
      <c r="O107" t="s">
        <v>536</v>
      </c>
      <c r="P107" t="s">
        <v>537</v>
      </c>
    </row>
    <row r="108" spans="1:16" x14ac:dyDescent="0.45">
      <c r="A108" t="s">
        <v>538</v>
      </c>
      <c r="B108">
        <v>73</v>
      </c>
      <c r="C108" t="s">
        <v>83</v>
      </c>
      <c r="D108" t="s">
        <v>84</v>
      </c>
      <c r="E108">
        <v>2941.15</v>
      </c>
      <c r="F108">
        <v>3097.89</v>
      </c>
      <c r="G108" t="s">
        <v>19</v>
      </c>
      <c r="H108" s="1">
        <v>45142</v>
      </c>
      <c r="I108" s="1">
        <v>45535</v>
      </c>
      <c r="J108" t="s">
        <v>539</v>
      </c>
      <c r="K108" t="s">
        <v>50</v>
      </c>
      <c r="L108" t="s">
        <v>36</v>
      </c>
      <c r="M108">
        <v>1</v>
      </c>
      <c r="N108" t="s">
        <v>540</v>
      </c>
      <c r="O108">
        <v>61841400838</v>
      </c>
      <c r="P108" t="s">
        <v>541</v>
      </c>
    </row>
    <row r="109" spans="1:16" x14ac:dyDescent="0.45">
      <c r="A109" t="s">
        <v>542</v>
      </c>
      <c r="B109">
        <v>53</v>
      </c>
      <c r="C109" t="s">
        <v>66</v>
      </c>
      <c r="D109" t="s">
        <v>84</v>
      </c>
      <c r="E109">
        <v>4180.99</v>
      </c>
      <c r="F109">
        <v>16041.31</v>
      </c>
      <c r="G109" t="s">
        <v>104</v>
      </c>
      <c r="H109" s="1">
        <v>45371</v>
      </c>
      <c r="I109" s="1">
        <v>45809</v>
      </c>
      <c r="J109" t="s">
        <v>543</v>
      </c>
      <c r="K109" t="s">
        <v>28</v>
      </c>
      <c r="L109" t="s">
        <v>36</v>
      </c>
      <c r="M109">
        <v>0.03</v>
      </c>
      <c r="N109" t="s">
        <v>544</v>
      </c>
      <c r="O109" t="s">
        <v>545</v>
      </c>
      <c r="P109" t="s">
        <v>546</v>
      </c>
    </row>
    <row r="110" spans="1:16" x14ac:dyDescent="0.45">
      <c r="A110" t="s">
        <v>547</v>
      </c>
      <c r="B110">
        <v>27</v>
      </c>
      <c r="C110" t="s">
        <v>83</v>
      </c>
      <c r="D110" t="s">
        <v>41</v>
      </c>
      <c r="E110">
        <v>2616.2600000000002</v>
      </c>
      <c r="F110">
        <v>7717.92</v>
      </c>
      <c r="G110" t="s">
        <v>19</v>
      </c>
      <c r="H110" s="1">
        <v>45121</v>
      </c>
      <c r="I110" s="1">
        <v>45802</v>
      </c>
      <c r="J110" t="s">
        <v>548</v>
      </c>
      <c r="K110" t="s">
        <v>35</v>
      </c>
      <c r="L110" t="s">
        <v>22</v>
      </c>
      <c r="M110">
        <v>0.11</v>
      </c>
      <c r="N110" t="s">
        <v>549</v>
      </c>
      <c r="O110" t="s">
        <v>550</v>
      </c>
      <c r="P110" t="s">
        <v>551</v>
      </c>
    </row>
    <row r="111" spans="1:16" x14ac:dyDescent="0.45">
      <c r="A111" t="s">
        <v>552</v>
      </c>
      <c r="B111">
        <v>21</v>
      </c>
      <c r="C111" t="s">
        <v>83</v>
      </c>
      <c r="D111" t="s">
        <v>84</v>
      </c>
      <c r="E111">
        <v>1678.11</v>
      </c>
      <c r="F111">
        <v>1947.04</v>
      </c>
      <c r="G111" t="s">
        <v>104</v>
      </c>
      <c r="H111" s="1">
        <v>45161</v>
      </c>
      <c r="I111" s="1">
        <v>45839</v>
      </c>
      <c r="J111" t="s">
        <v>553</v>
      </c>
      <c r="K111" t="s">
        <v>21</v>
      </c>
      <c r="L111" t="s">
        <v>22</v>
      </c>
      <c r="M111">
        <v>0.06</v>
      </c>
      <c r="N111" t="s">
        <v>554</v>
      </c>
      <c r="O111" t="s">
        <v>555</v>
      </c>
      <c r="P111" t="s">
        <v>556</v>
      </c>
    </row>
    <row r="112" spans="1:16" x14ac:dyDescent="0.45">
      <c r="A112" t="s">
        <v>557</v>
      </c>
      <c r="B112">
        <v>54</v>
      </c>
      <c r="C112" t="s">
        <v>32</v>
      </c>
      <c r="D112" t="s">
        <v>18</v>
      </c>
      <c r="E112">
        <v>2847.19</v>
      </c>
      <c r="F112">
        <v>1587.7</v>
      </c>
      <c r="G112" t="s">
        <v>19</v>
      </c>
      <c r="H112" s="1">
        <v>45222</v>
      </c>
      <c r="I112" s="1">
        <v>45850</v>
      </c>
      <c r="J112" t="s">
        <v>558</v>
      </c>
      <c r="K112" t="s">
        <v>21</v>
      </c>
      <c r="L112" t="s">
        <v>36</v>
      </c>
      <c r="M112">
        <v>0.76</v>
      </c>
      <c r="N112" t="s">
        <v>559</v>
      </c>
      <c r="O112" t="s">
        <v>560</v>
      </c>
      <c r="P112" t="s">
        <v>561</v>
      </c>
    </row>
    <row r="113" spans="1:16" x14ac:dyDescent="0.45">
      <c r="A113" t="s">
        <v>562</v>
      </c>
      <c r="B113">
        <v>61</v>
      </c>
      <c r="C113" t="s">
        <v>55</v>
      </c>
      <c r="D113" t="s">
        <v>41</v>
      </c>
      <c r="E113">
        <v>3869.47</v>
      </c>
      <c r="F113">
        <v>8798.91</v>
      </c>
      <c r="G113" t="s">
        <v>85</v>
      </c>
      <c r="H113" s="1">
        <v>44774</v>
      </c>
      <c r="I113" s="1">
        <v>45097</v>
      </c>
      <c r="J113" t="s">
        <v>563</v>
      </c>
      <c r="K113" t="s">
        <v>28</v>
      </c>
      <c r="L113" t="s">
        <v>36</v>
      </c>
      <c r="M113">
        <v>0.72</v>
      </c>
      <c r="N113" t="s">
        <v>564</v>
      </c>
      <c r="O113">
        <v>28.7623</v>
      </c>
      <c r="P113" t="s">
        <v>565</v>
      </c>
    </row>
    <row r="114" spans="1:16" x14ac:dyDescent="0.45">
      <c r="A114" t="s">
        <v>566</v>
      </c>
      <c r="B114">
        <v>43</v>
      </c>
      <c r="C114" t="s">
        <v>26</v>
      </c>
      <c r="D114" t="s">
        <v>18</v>
      </c>
      <c r="E114">
        <v>4081.98</v>
      </c>
      <c r="F114">
        <v>15514.93</v>
      </c>
      <c r="G114" t="s">
        <v>85</v>
      </c>
      <c r="H114" s="1">
        <v>44863</v>
      </c>
      <c r="I114" s="1">
        <v>45402</v>
      </c>
      <c r="J114" t="s">
        <v>567</v>
      </c>
      <c r="K114" t="s">
        <v>35</v>
      </c>
      <c r="L114" t="s">
        <v>43</v>
      </c>
      <c r="M114">
        <v>0.25</v>
      </c>
      <c r="N114" t="s">
        <v>568</v>
      </c>
      <c r="O114" t="s">
        <v>569</v>
      </c>
      <c r="P114" t="s">
        <v>570</v>
      </c>
    </row>
    <row r="115" spans="1:16" x14ac:dyDescent="0.45">
      <c r="A115" t="s">
        <v>571</v>
      </c>
      <c r="B115">
        <v>37</v>
      </c>
      <c r="C115" t="s">
        <v>66</v>
      </c>
      <c r="D115" t="s">
        <v>18</v>
      </c>
      <c r="E115">
        <v>2542.35</v>
      </c>
      <c r="F115">
        <v>5193.97</v>
      </c>
      <c r="G115" t="s">
        <v>19</v>
      </c>
      <c r="H115" s="1">
        <v>45480</v>
      </c>
      <c r="I115" s="1">
        <v>45681</v>
      </c>
      <c r="J115" t="s">
        <v>572</v>
      </c>
      <c r="K115" t="s">
        <v>35</v>
      </c>
      <c r="L115" t="s">
        <v>43</v>
      </c>
      <c r="M115">
        <v>0.82</v>
      </c>
      <c r="N115" t="s">
        <v>573</v>
      </c>
      <c r="O115">
        <f>61-425-744-266</f>
        <v>-1374</v>
      </c>
      <c r="P115" t="s">
        <v>574</v>
      </c>
    </row>
    <row r="116" spans="1:16" x14ac:dyDescent="0.45">
      <c r="A116" t="s">
        <v>575</v>
      </c>
      <c r="B116">
        <v>44</v>
      </c>
      <c r="C116" t="s">
        <v>48</v>
      </c>
      <c r="D116" t="s">
        <v>18</v>
      </c>
      <c r="E116">
        <v>4561</v>
      </c>
      <c r="F116">
        <v>10269.44</v>
      </c>
      <c r="G116" t="s">
        <v>104</v>
      </c>
      <c r="H116" s="1">
        <v>45341</v>
      </c>
      <c r="I116" s="1">
        <v>45412</v>
      </c>
      <c r="J116" t="s">
        <v>576</v>
      </c>
      <c r="K116" t="s">
        <v>50</v>
      </c>
      <c r="L116" t="s">
        <v>36</v>
      </c>
      <c r="M116">
        <v>0.96</v>
      </c>
      <c r="N116" t="s">
        <v>577</v>
      </c>
      <c r="O116" t="s">
        <v>578</v>
      </c>
      <c r="P116" t="s">
        <v>579</v>
      </c>
    </row>
    <row r="117" spans="1:16" x14ac:dyDescent="0.45">
      <c r="A117" t="s">
        <v>580</v>
      </c>
      <c r="B117">
        <v>69</v>
      </c>
      <c r="C117" t="s">
        <v>40</v>
      </c>
      <c r="D117" t="s">
        <v>84</v>
      </c>
      <c r="E117">
        <v>4315.6400000000003</v>
      </c>
      <c r="F117">
        <v>2181.33</v>
      </c>
      <c r="G117" t="s">
        <v>19</v>
      </c>
      <c r="H117" s="1">
        <v>45275</v>
      </c>
      <c r="I117" s="1">
        <v>45471</v>
      </c>
      <c r="J117" t="s">
        <v>581</v>
      </c>
      <c r="K117" t="s">
        <v>35</v>
      </c>
      <c r="L117" t="s">
        <v>43</v>
      </c>
      <c r="M117">
        <v>0.98</v>
      </c>
      <c r="N117" t="s">
        <v>582</v>
      </c>
      <c r="O117" t="s">
        <v>583</v>
      </c>
      <c r="P117" t="s">
        <v>584</v>
      </c>
    </row>
    <row r="118" spans="1:16" x14ac:dyDescent="0.45">
      <c r="A118" t="s">
        <v>585</v>
      </c>
      <c r="B118">
        <v>60</v>
      </c>
      <c r="C118" t="s">
        <v>26</v>
      </c>
      <c r="D118" t="s">
        <v>67</v>
      </c>
      <c r="E118">
        <v>3192.73</v>
      </c>
      <c r="F118">
        <v>9747.35</v>
      </c>
      <c r="G118" t="s">
        <v>19</v>
      </c>
      <c r="H118" s="1">
        <v>45434</v>
      </c>
      <c r="I118" s="1">
        <v>45630</v>
      </c>
      <c r="J118" t="s">
        <v>586</v>
      </c>
      <c r="K118" t="s">
        <v>28</v>
      </c>
      <c r="L118" t="s">
        <v>36</v>
      </c>
      <c r="M118">
        <v>0.11</v>
      </c>
      <c r="N118" t="s">
        <v>587</v>
      </c>
      <c r="O118">
        <v>61647066</v>
      </c>
      <c r="P118" t="s">
        <v>588</v>
      </c>
    </row>
    <row r="119" spans="1:16" x14ac:dyDescent="0.45">
      <c r="A119" t="s">
        <v>589</v>
      </c>
      <c r="B119">
        <v>50</v>
      </c>
      <c r="C119" t="s">
        <v>17</v>
      </c>
      <c r="D119" t="s">
        <v>33</v>
      </c>
      <c r="E119">
        <v>4450.95</v>
      </c>
      <c r="F119">
        <v>4721.67</v>
      </c>
      <c r="G119" t="s">
        <v>19</v>
      </c>
      <c r="H119" s="1">
        <v>44935</v>
      </c>
      <c r="I119" s="1">
        <v>45084</v>
      </c>
      <c r="J119" t="s">
        <v>590</v>
      </c>
      <c r="K119" t="s">
        <v>35</v>
      </c>
      <c r="L119" t="s">
        <v>36</v>
      </c>
      <c r="M119">
        <v>0.24</v>
      </c>
      <c r="N119" t="s">
        <v>591</v>
      </c>
      <c r="O119" t="s">
        <v>592</v>
      </c>
      <c r="P119" t="s">
        <v>593</v>
      </c>
    </row>
    <row r="120" spans="1:16" x14ac:dyDescent="0.45">
      <c r="A120" t="s">
        <v>594</v>
      </c>
      <c r="B120">
        <v>28</v>
      </c>
      <c r="C120" t="s">
        <v>40</v>
      </c>
      <c r="D120" t="s">
        <v>41</v>
      </c>
      <c r="E120">
        <v>3615.82</v>
      </c>
      <c r="F120">
        <v>18608.400000000001</v>
      </c>
      <c r="G120" t="s">
        <v>104</v>
      </c>
      <c r="H120" s="1">
        <v>45049</v>
      </c>
      <c r="I120" s="1">
        <v>45588</v>
      </c>
      <c r="J120" t="s">
        <v>595</v>
      </c>
      <c r="K120" t="s">
        <v>21</v>
      </c>
      <c r="L120" t="s">
        <v>22</v>
      </c>
      <c r="M120">
        <v>0.04</v>
      </c>
      <c r="N120" t="s">
        <v>596</v>
      </c>
      <c r="O120" t="s">
        <v>597</v>
      </c>
      <c r="P120" t="s">
        <v>598</v>
      </c>
    </row>
    <row r="121" spans="1:16" x14ac:dyDescent="0.45">
      <c r="A121" t="s">
        <v>599</v>
      </c>
      <c r="B121">
        <v>40</v>
      </c>
      <c r="C121" t="s">
        <v>32</v>
      </c>
      <c r="D121" t="s">
        <v>41</v>
      </c>
      <c r="E121">
        <v>2179.84</v>
      </c>
      <c r="F121">
        <v>6890.85</v>
      </c>
      <c r="G121" t="s">
        <v>19</v>
      </c>
      <c r="H121" s="1">
        <v>45370</v>
      </c>
      <c r="I121" s="1">
        <v>45529</v>
      </c>
      <c r="J121" t="s">
        <v>600</v>
      </c>
      <c r="K121" t="s">
        <v>28</v>
      </c>
      <c r="L121" t="s">
        <v>36</v>
      </c>
      <c r="M121">
        <v>0.43</v>
      </c>
      <c r="N121" t="s">
        <v>601</v>
      </c>
      <c r="O121">
        <v>731773298</v>
      </c>
      <c r="P121" t="s">
        <v>602</v>
      </c>
    </row>
    <row r="122" spans="1:16" x14ac:dyDescent="0.45">
      <c r="A122" t="s">
        <v>603</v>
      </c>
      <c r="B122">
        <v>30</v>
      </c>
      <c r="C122" t="s">
        <v>55</v>
      </c>
      <c r="D122" t="s">
        <v>67</v>
      </c>
      <c r="E122">
        <v>3232.4</v>
      </c>
      <c r="F122">
        <v>890.28</v>
      </c>
      <c r="G122" t="s">
        <v>19</v>
      </c>
      <c r="H122" s="1">
        <v>44987</v>
      </c>
      <c r="I122" s="1">
        <v>45822</v>
      </c>
      <c r="J122" t="s">
        <v>604</v>
      </c>
      <c r="K122" t="s">
        <v>35</v>
      </c>
      <c r="L122" t="s">
        <v>43</v>
      </c>
      <c r="M122">
        <v>0.38</v>
      </c>
      <c r="N122" t="s">
        <v>605</v>
      </c>
      <c r="O122" t="s">
        <v>606</v>
      </c>
      <c r="P122" t="s">
        <v>607</v>
      </c>
    </row>
    <row r="123" spans="1:16" x14ac:dyDescent="0.45">
      <c r="A123" t="s">
        <v>608</v>
      </c>
      <c r="B123">
        <v>53</v>
      </c>
      <c r="C123" t="s">
        <v>26</v>
      </c>
      <c r="D123" t="s">
        <v>41</v>
      </c>
      <c r="E123">
        <v>1391.47</v>
      </c>
      <c r="F123">
        <v>3601.96</v>
      </c>
      <c r="G123" t="s">
        <v>104</v>
      </c>
      <c r="H123" s="1">
        <v>45372</v>
      </c>
      <c r="I123" s="1">
        <v>45573</v>
      </c>
      <c r="J123" t="s">
        <v>609</v>
      </c>
      <c r="K123" t="s">
        <v>28</v>
      </c>
      <c r="L123" t="s">
        <v>43</v>
      </c>
      <c r="M123">
        <v>0.79</v>
      </c>
      <c r="N123" t="s">
        <v>610</v>
      </c>
      <c r="O123" t="s">
        <v>611</v>
      </c>
      <c r="P123" t="s">
        <v>612</v>
      </c>
    </row>
    <row r="124" spans="1:16" x14ac:dyDescent="0.45">
      <c r="A124" t="s">
        <v>613</v>
      </c>
      <c r="B124">
        <v>65</v>
      </c>
      <c r="C124" t="s">
        <v>40</v>
      </c>
      <c r="D124" t="s">
        <v>84</v>
      </c>
      <c r="E124">
        <v>1344.16</v>
      </c>
      <c r="F124">
        <v>11019.11</v>
      </c>
      <c r="G124" t="s">
        <v>19</v>
      </c>
      <c r="H124" s="1">
        <v>45475</v>
      </c>
      <c r="I124" s="1">
        <v>45864</v>
      </c>
      <c r="J124" t="s">
        <v>614</v>
      </c>
      <c r="K124" t="s">
        <v>35</v>
      </c>
      <c r="L124" t="s">
        <v>43</v>
      </c>
      <c r="M124">
        <v>0.54</v>
      </c>
      <c r="N124" t="s">
        <v>615</v>
      </c>
      <c r="O124">
        <v>26957292</v>
      </c>
      <c r="P124" t="s">
        <v>616</v>
      </c>
    </row>
    <row r="125" spans="1:16" x14ac:dyDescent="0.45">
      <c r="A125" t="s">
        <v>617</v>
      </c>
      <c r="B125">
        <v>19</v>
      </c>
      <c r="C125" t="s">
        <v>66</v>
      </c>
      <c r="D125" t="s">
        <v>67</v>
      </c>
      <c r="E125">
        <v>4529.17</v>
      </c>
      <c r="F125">
        <v>5468.75</v>
      </c>
      <c r="G125" t="s">
        <v>85</v>
      </c>
      <c r="H125" s="1">
        <v>44808</v>
      </c>
      <c r="I125" s="1">
        <v>45021</v>
      </c>
      <c r="J125" t="s">
        <v>618</v>
      </c>
      <c r="K125" t="s">
        <v>35</v>
      </c>
      <c r="L125" t="s">
        <v>43</v>
      </c>
      <c r="M125">
        <v>0.99</v>
      </c>
      <c r="N125" t="s">
        <v>619</v>
      </c>
      <c r="O125" t="s">
        <v>620</v>
      </c>
      <c r="P125" t="s">
        <v>621</v>
      </c>
    </row>
    <row r="126" spans="1:16" x14ac:dyDescent="0.45">
      <c r="A126" t="s">
        <v>622</v>
      </c>
      <c r="B126">
        <v>54</v>
      </c>
      <c r="C126" t="s">
        <v>83</v>
      </c>
      <c r="D126" t="s">
        <v>84</v>
      </c>
      <c r="E126">
        <v>888.47</v>
      </c>
      <c r="F126">
        <v>12633.15</v>
      </c>
      <c r="G126" t="s">
        <v>19</v>
      </c>
      <c r="H126" s="1">
        <v>44886</v>
      </c>
      <c r="I126" s="1">
        <v>45412</v>
      </c>
      <c r="J126" t="s">
        <v>623</v>
      </c>
      <c r="K126" t="s">
        <v>35</v>
      </c>
      <c r="L126" t="s">
        <v>43</v>
      </c>
      <c r="M126">
        <v>0.09</v>
      </c>
      <c r="N126" t="s">
        <v>624</v>
      </c>
      <c r="O126" t="s">
        <v>625</v>
      </c>
      <c r="P126" t="s">
        <v>626</v>
      </c>
    </row>
    <row r="127" spans="1:16" x14ac:dyDescent="0.45">
      <c r="A127" t="s">
        <v>627</v>
      </c>
      <c r="B127">
        <v>70</v>
      </c>
      <c r="C127" t="s">
        <v>48</v>
      </c>
      <c r="D127" t="s">
        <v>18</v>
      </c>
      <c r="E127">
        <v>4825.9799999999996</v>
      </c>
      <c r="F127">
        <v>18996.79</v>
      </c>
      <c r="G127" t="s">
        <v>104</v>
      </c>
      <c r="H127" s="1">
        <v>45320</v>
      </c>
      <c r="I127" s="1">
        <v>45752</v>
      </c>
      <c r="J127" t="s">
        <v>628</v>
      </c>
      <c r="K127" t="s">
        <v>50</v>
      </c>
      <c r="L127" t="s">
        <v>43</v>
      </c>
      <c r="M127">
        <v>0.08</v>
      </c>
      <c r="N127" t="s">
        <v>629</v>
      </c>
      <c r="O127" t="s">
        <v>630</v>
      </c>
      <c r="P127" t="s">
        <v>631</v>
      </c>
    </row>
    <row r="128" spans="1:16" x14ac:dyDescent="0.45">
      <c r="A128" t="s">
        <v>632</v>
      </c>
      <c r="B128">
        <v>30</v>
      </c>
      <c r="C128" t="s">
        <v>32</v>
      </c>
      <c r="D128" t="s">
        <v>18</v>
      </c>
      <c r="E128">
        <v>1603.18</v>
      </c>
      <c r="F128">
        <v>17226.09</v>
      </c>
      <c r="G128" t="s">
        <v>104</v>
      </c>
      <c r="H128" s="1">
        <v>44994</v>
      </c>
      <c r="I128" s="1">
        <v>45568</v>
      </c>
      <c r="J128" t="s">
        <v>633</v>
      </c>
      <c r="K128" t="s">
        <v>50</v>
      </c>
      <c r="L128" t="s">
        <v>22</v>
      </c>
      <c r="M128">
        <v>0.98</v>
      </c>
      <c r="N128" t="s">
        <v>634</v>
      </c>
      <c r="O128">
        <f>61-7-2324-6654</f>
        <v>-8924</v>
      </c>
      <c r="P128" t="s">
        <v>635</v>
      </c>
    </row>
    <row r="129" spans="1:16" x14ac:dyDescent="0.45">
      <c r="A129" t="s">
        <v>636</v>
      </c>
      <c r="B129">
        <v>36</v>
      </c>
      <c r="C129" t="s">
        <v>26</v>
      </c>
      <c r="D129" t="s">
        <v>84</v>
      </c>
      <c r="E129">
        <v>656.65</v>
      </c>
      <c r="F129">
        <v>12230.02</v>
      </c>
      <c r="G129" t="s">
        <v>19</v>
      </c>
      <c r="H129" s="1">
        <v>45049</v>
      </c>
      <c r="I129" s="1">
        <v>45241</v>
      </c>
      <c r="J129" t="s">
        <v>637</v>
      </c>
      <c r="K129" t="s">
        <v>50</v>
      </c>
      <c r="L129" t="s">
        <v>36</v>
      </c>
      <c r="M129">
        <v>0.2</v>
      </c>
      <c r="N129" t="s">
        <v>638</v>
      </c>
      <c r="O129" t="s">
        <v>639</v>
      </c>
      <c r="P129" t="s">
        <v>640</v>
      </c>
    </row>
    <row r="130" spans="1:16" x14ac:dyDescent="0.45">
      <c r="A130" t="s">
        <v>641</v>
      </c>
      <c r="B130">
        <v>58</v>
      </c>
      <c r="C130" t="s">
        <v>26</v>
      </c>
      <c r="D130" t="s">
        <v>84</v>
      </c>
      <c r="E130">
        <v>2215.1799999999998</v>
      </c>
      <c r="F130">
        <v>17090.150000000001</v>
      </c>
      <c r="G130" t="s">
        <v>19</v>
      </c>
      <c r="H130" s="1">
        <v>45371</v>
      </c>
      <c r="I130" s="1">
        <v>45392</v>
      </c>
      <c r="J130" t="s">
        <v>642</v>
      </c>
      <c r="K130" t="s">
        <v>21</v>
      </c>
      <c r="L130" t="s">
        <v>22</v>
      </c>
      <c r="M130">
        <v>0.74</v>
      </c>
      <c r="N130" t="s">
        <v>643</v>
      </c>
      <c r="O130" t="s">
        <v>644</v>
      </c>
      <c r="P130" t="s">
        <v>645</v>
      </c>
    </row>
    <row r="131" spans="1:16" x14ac:dyDescent="0.45">
      <c r="A131" t="s">
        <v>646</v>
      </c>
      <c r="B131">
        <v>29</v>
      </c>
      <c r="C131" t="s">
        <v>40</v>
      </c>
      <c r="D131" t="s">
        <v>33</v>
      </c>
      <c r="E131">
        <v>4292.79</v>
      </c>
      <c r="F131">
        <v>10521.84</v>
      </c>
      <c r="G131" t="s">
        <v>19</v>
      </c>
      <c r="H131" s="1">
        <v>44926</v>
      </c>
      <c r="I131" s="1">
        <v>45454</v>
      </c>
      <c r="J131" t="s">
        <v>647</v>
      </c>
      <c r="K131" t="s">
        <v>28</v>
      </c>
      <c r="L131" t="s">
        <v>36</v>
      </c>
      <c r="M131">
        <v>0.48</v>
      </c>
      <c r="N131" t="s">
        <v>648</v>
      </c>
      <c r="O131" t="s">
        <v>649</v>
      </c>
      <c r="P131" t="s">
        <v>650</v>
      </c>
    </row>
    <row r="132" spans="1:16" x14ac:dyDescent="0.45">
      <c r="A132" t="s">
        <v>651</v>
      </c>
      <c r="B132">
        <v>61</v>
      </c>
      <c r="C132" t="s">
        <v>40</v>
      </c>
      <c r="D132" t="s">
        <v>67</v>
      </c>
      <c r="E132">
        <v>783</v>
      </c>
      <c r="F132">
        <v>57.16</v>
      </c>
      <c r="G132" t="s">
        <v>19</v>
      </c>
      <c r="H132" s="1">
        <v>45385</v>
      </c>
      <c r="I132" s="1">
        <v>45656</v>
      </c>
      <c r="J132" t="s">
        <v>652</v>
      </c>
      <c r="K132" t="s">
        <v>50</v>
      </c>
      <c r="L132" t="s">
        <v>22</v>
      </c>
      <c r="M132">
        <v>0.15</v>
      </c>
      <c r="N132" t="s">
        <v>653</v>
      </c>
      <c r="O132" t="s">
        <v>654</v>
      </c>
      <c r="P132" t="s">
        <v>655</v>
      </c>
    </row>
    <row r="133" spans="1:16" x14ac:dyDescent="0.45">
      <c r="A133" t="s">
        <v>656</v>
      </c>
      <c r="B133">
        <v>73</v>
      </c>
      <c r="C133" t="s">
        <v>83</v>
      </c>
      <c r="D133" t="s">
        <v>18</v>
      </c>
      <c r="E133">
        <v>2505.44</v>
      </c>
      <c r="F133">
        <v>2822.28</v>
      </c>
      <c r="G133" t="s">
        <v>19</v>
      </c>
      <c r="H133" s="1">
        <v>45149</v>
      </c>
      <c r="I133" s="1">
        <v>45421</v>
      </c>
      <c r="J133" t="s">
        <v>657</v>
      </c>
      <c r="K133" t="s">
        <v>50</v>
      </c>
      <c r="L133" t="s">
        <v>36</v>
      </c>
      <c r="M133">
        <v>0.11</v>
      </c>
      <c r="N133" t="s">
        <v>658</v>
      </c>
      <c r="O133" t="s">
        <v>659</v>
      </c>
      <c r="P133" t="s">
        <v>660</v>
      </c>
    </row>
    <row r="134" spans="1:16" x14ac:dyDescent="0.45">
      <c r="A134" t="s">
        <v>661</v>
      </c>
      <c r="B134">
        <v>36</v>
      </c>
      <c r="C134" t="s">
        <v>83</v>
      </c>
      <c r="D134" t="s">
        <v>33</v>
      </c>
      <c r="E134">
        <v>4424.32</v>
      </c>
      <c r="F134">
        <v>4779.9799999999996</v>
      </c>
      <c r="G134" t="s">
        <v>19</v>
      </c>
      <c r="H134" s="1">
        <v>44864</v>
      </c>
      <c r="I134" s="1">
        <v>45319</v>
      </c>
      <c r="J134" t="s">
        <v>662</v>
      </c>
      <c r="K134" t="s">
        <v>21</v>
      </c>
      <c r="L134" t="s">
        <v>22</v>
      </c>
      <c r="M134">
        <v>0.2</v>
      </c>
      <c r="N134" t="s">
        <v>663</v>
      </c>
      <c r="O134" t="s">
        <v>664</v>
      </c>
      <c r="P134" t="s">
        <v>665</v>
      </c>
    </row>
    <row r="135" spans="1:16" x14ac:dyDescent="0.45">
      <c r="A135" t="s">
        <v>666</v>
      </c>
      <c r="B135">
        <v>75</v>
      </c>
      <c r="C135" t="s">
        <v>83</v>
      </c>
      <c r="D135" t="s">
        <v>33</v>
      </c>
      <c r="E135">
        <v>1518.56</v>
      </c>
      <c r="F135">
        <v>9521.68</v>
      </c>
      <c r="G135" t="s">
        <v>104</v>
      </c>
      <c r="H135" s="1">
        <v>44795</v>
      </c>
      <c r="I135" s="1">
        <v>45257</v>
      </c>
      <c r="J135" t="s">
        <v>667</v>
      </c>
      <c r="K135" t="s">
        <v>35</v>
      </c>
      <c r="L135" t="s">
        <v>43</v>
      </c>
      <c r="M135">
        <v>0.8</v>
      </c>
      <c r="N135" t="s">
        <v>668</v>
      </c>
      <c r="O135" t="s">
        <v>669</v>
      </c>
      <c r="P135" t="s">
        <v>670</v>
      </c>
    </row>
    <row r="136" spans="1:16" x14ac:dyDescent="0.45">
      <c r="A136" t="s">
        <v>671</v>
      </c>
      <c r="B136">
        <v>71</v>
      </c>
      <c r="C136" t="s">
        <v>55</v>
      </c>
      <c r="D136" t="s">
        <v>18</v>
      </c>
      <c r="E136">
        <v>477.68</v>
      </c>
      <c r="F136">
        <v>3784.5</v>
      </c>
      <c r="G136" t="s">
        <v>85</v>
      </c>
      <c r="H136" s="1">
        <v>45497</v>
      </c>
      <c r="I136" s="1">
        <v>45672</v>
      </c>
      <c r="J136" t="s">
        <v>672</v>
      </c>
      <c r="K136" t="s">
        <v>50</v>
      </c>
      <c r="L136" t="s">
        <v>36</v>
      </c>
      <c r="M136">
        <v>0.89</v>
      </c>
      <c r="N136" t="s">
        <v>673</v>
      </c>
      <c r="O136" t="s">
        <v>674</v>
      </c>
      <c r="P136" t="s">
        <v>675</v>
      </c>
    </row>
    <row r="137" spans="1:16" x14ac:dyDescent="0.45">
      <c r="A137" t="s">
        <v>676</v>
      </c>
      <c r="B137">
        <v>35</v>
      </c>
      <c r="C137" t="s">
        <v>55</v>
      </c>
      <c r="D137" t="s">
        <v>41</v>
      </c>
      <c r="E137">
        <v>3896.35</v>
      </c>
      <c r="F137">
        <v>4571.79</v>
      </c>
      <c r="G137" t="s">
        <v>19</v>
      </c>
      <c r="H137" s="1">
        <v>44934</v>
      </c>
      <c r="I137" s="1">
        <v>45663</v>
      </c>
      <c r="J137" t="s">
        <v>677</v>
      </c>
      <c r="K137" t="s">
        <v>50</v>
      </c>
      <c r="L137" t="s">
        <v>43</v>
      </c>
      <c r="M137">
        <v>0.31</v>
      </c>
      <c r="N137" t="s">
        <v>678</v>
      </c>
      <c r="O137">
        <f>61-2-8916-3926</f>
        <v>-12783</v>
      </c>
      <c r="P137" t="s">
        <v>679</v>
      </c>
    </row>
    <row r="138" spans="1:16" x14ac:dyDescent="0.45">
      <c r="A138" t="s">
        <v>680</v>
      </c>
      <c r="B138">
        <v>58</v>
      </c>
      <c r="C138" t="s">
        <v>55</v>
      </c>
      <c r="D138" t="s">
        <v>18</v>
      </c>
      <c r="E138">
        <v>1565.12</v>
      </c>
      <c r="F138">
        <v>8664.7800000000007</v>
      </c>
      <c r="G138" t="s">
        <v>19</v>
      </c>
      <c r="H138" s="1">
        <v>45297</v>
      </c>
      <c r="I138" s="1">
        <v>45326</v>
      </c>
      <c r="J138" t="s">
        <v>681</v>
      </c>
      <c r="K138" t="s">
        <v>35</v>
      </c>
      <c r="L138" t="s">
        <v>22</v>
      </c>
      <c r="M138">
        <v>0.18</v>
      </c>
      <c r="N138" t="s">
        <v>682</v>
      </c>
      <c r="O138" t="s">
        <v>683</v>
      </c>
      <c r="P138" t="s">
        <v>684</v>
      </c>
    </row>
    <row r="139" spans="1:16" x14ac:dyDescent="0.45">
      <c r="A139" t="s">
        <v>685</v>
      </c>
      <c r="B139">
        <v>40</v>
      </c>
      <c r="C139" t="s">
        <v>48</v>
      </c>
      <c r="D139" t="s">
        <v>67</v>
      </c>
      <c r="E139">
        <v>4588.6400000000003</v>
      </c>
      <c r="F139">
        <v>18505.169999999998</v>
      </c>
      <c r="G139" t="s">
        <v>85</v>
      </c>
      <c r="H139" s="1">
        <v>45330</v>
      </c>
      <c r="I139" s="1">
        <v>45455</v>
      </c>
      <c r="J139" t="s">
        <v>686</v>
      </c>
      <c r="K139" t="s">
        <v>28</v>
      </c>
      <c r="L139" t="s">
        <v>43</v>
      </c>
      <c r="M139">
        <v>0.82</v>
      </c>
      <c r="N139" t="s">
        <v>687</v>
      </c>
      <c r="O139">
        <v>61352199044</v>
      </c>
      <c r="P139" t="s">
        <v>688</v>
      </c>
    </row>
    <row r="140" spans="1:16" x14ac:dyDescent="0.45">
      <c r="A140" t="s">
        <v>689</v>
      </c>
      <c r="B140">
        <v>62</v>
      </c>
      <c r="C140" t="s">
        <v>17</v>
      </c>
      <c r="D140" t="s">
        <v>33</v>
      </c>
      <c r="E140">
        <v>3653.94</v>
      </c>
      <c r="F140">
        <v>15450.29</v>
      </c>
      <c r="G140" t="s">
        <v>104</v>
      </c>
      <c r="H140" s="1">
        <v>45367</v>
      </c>
      <c r="I140" s="1">
        <v>45859</v>
      </c>
      <c r="J140" t="s">
        <v>690</v>
      </c>
      <c r="K140" t="s">
        <v>28</v>
      </c>
      <c r="L140" t="s">
        <v>36</v>
      </c>
      <c r="M140">
        <v>0.83</v>
      </c>
      <c r="N140" t="s">
        <v>691</v>
      </c>
      <c r="O140">
        <f>61-8-3557-1923</f>
        <v>-5427</v>
      </c>
      <c r="P140" t="s">
        <v>692</v>
      </c>
    </row>
    <row r="141" spans="1:16" x14ac:dyDescent="0.45">
      <c r="A141" t="s">
        <v>693</v>
      </c>
      <c r="B141">
        <v>61</v>
      </c>
      <c r="C141" t="s">
        <v>17</v>
      </c>
      <c r="D141" t="s">
        <v>41</v>
      </c>
      <c r="E141">
        <v>1882.4</v>
      </c>
      <c r="F141">
        <v>1442.4</v>
      </c>
      <c r="G141" t="s">
        <v>19</v>
      </c>
      <c r="H141" s="1">
        <v>44817</v>
      </c>
      <c r="I141" s="1">
        <v>44986</v>
      </c>
      <c r="J141" t="s">
        <v>694</v>
      </c>
      <c r="K141" t="s">
        <v>28</v>
      </c>
      <c r="L141" t="s">
        <v>22</v>
      </c>
      <c r="M141">
        <v>0.42</v>
      </c>
      <c r="N141" t="s">
        <v>695</v>
      </c>
      <c r="O141" t="s">
        <v>696</v>
      </c>
      <c r="P141" t="s">
        <v>697</v>
      </c>
    </row>
    <row r="142" spans="1:16" x14ac:dyDescent="0.45">
      <c r="A142" t="s">
        <v>698</v>
      </c>
      <c r="B142">
        <v>47</v>
      </c>
      <c r="C142" t="s">
        <v>66</v>
      </c>
      <c r="D142" t="s">
        <v>67</v>
      </c>
      <c r="E142">
        <v>4286.04</v>
      </c>
      <c r="F142">
        <v>5120.22</v>
      </c>
      <c r="G142" t="s">
        <v>85</v>
      </c>
      <c r="H142" s="1">
        <v>45458</v>
      </c>
      <c r="I142" s="1">
        <v>45829</v>
      </c>
      <c r="J142" t="s">
        <v>699</v>
      </c>
      <c r="K142" t="s">
        <v>50</v>
      </c>
      <c r="L142" t="s">
        <v>43</v>
      </c>
      <c r="M142">
        <v>0.33</v>
      </c>
      <c r="N142" t="s">
        <v>700</v>
      </c>
      <c r="O142">
        <v>61282893390</v>
      </c>
      <c r="P142" t="s">
        <v>701</v>
      </c>
    </row>
    <row r="143" spans="1:16" x14ac:dyDescent="0.45">
      <c r="A143" t="s">
        <v>702</v>
      </c>
      <c r="B143">
        <v>58</v>
      </c>
      <c r="C143" t="s">
        <v>55</v>
      </c>
      <c r="D143" t="s">
        <v>84</v>
      </c>
      <c r="E143">
        <v>4135.88</v>
      </c>
      <c r="F143">
        <v>7874.92</v>
      </c>
      <c r="G143" t="s">
        <v>19</v>
      </c>
      <c r="H143" s="1">
        <v>45156</v>
      </c>
      <c r="I143" s="1">
        <v>45622</v>
      </c>
      <c r="J143" t="s">
        <v>703</v>
      </c>
      <c r="K143" t="s">
        <v>28</v>
      </c>
      <c r="L143" t="s">
        <v>22</v>
      </c>
      <c r="M143">
        <v>0.56000000000000005</v>
      </c>
      <c r="N143" t="s">
        <v>704</v>
      </c>
      <c r="O143">
        <v>2659.7194</v>
      </c>
      <c r="P143" t="s">
        <v>705</v>
      </c>
    </row>
    <row r="144" spans="1:16" x14ac:dyDescent="0.45">
      <c r="A144" t="s">
        <v>706</v>
      </c>
      <c r="B144">
        <v>57</v>
      </c>
      <c r="C144" t="s">
        <v>32</v>
      </c>
      <c r="D144" t="s">
        <v>84</v>
      </c>
      <c r="E144">
        <v>1932.44</v>
      </c>
      <c r="F144">
        <v>2857.79</v>
      </c>
      <c r="G144" t="s">
        <v>19</v>
      </c>
      <c r="H144" s="1">
        <v>45123</v>
      </c>
      <c r="I144" s="1">
        <v>45647</v>
      </c>
      <c r="J144" t="s">
        <v>707</v>
      </c>
      <c r="K144" t="s">
        <v>50</v>
      </c>
      <c r="L144" t="s">
        <v>22</v>
      </c>
      <c r="M144">
        <v>0.59</v>
      </c>
      <c r="N144" t="s">
        <v>708</v>
      </c>
      <c r="O144" t="s">
        <v>709</v>
      </c>
      <c r="P144" t="s">
        <v>710</v>
      </c>
    </row>
    <row r="145" spans="1:16" x14ac:dyDescent="0.45">
      <c r="A145" t="s">
        <v>711</v>
      </c>
      <c r="B145">
        <v>40</v>
      </c>
      <c r="C145" t="s">
        <v>55</v>
      </c>
      <c r="D145" t="s">
        <v>18</v>
      </c>
      <c r="E145">
        <v>1239.53</v>
      </c>
      <c r="F145">
        <v>9611.19</v>
      </c>
      <c r="G145" t="s">
        <v>19</v>
      </c>
      <c r="H145" s="1">
        <v>45500</v>
      </c>
      <c r="I145" s="1">
        <v>45840</v>
      </c>
      <c r="J145" t="s">
        <v>712</v>
      </c>
      <c r="K145" t="s">
        <v>28</v>
      </c>
      <c r="L145" t="s">
        <v>22</v>
      </c>
      <c r="M145">
        <v>0.95</v>
      </c>
      <c r="N145" t="s">
        <v>713</v>
      </c>
      <c r="O145" t="s">
        <v>714</v>
      </c>
      <c r="P145" t="s">
        <v>715</v>
      </c>
    </row>
    <row r="146" spans="1:16" x14ac:dyDescent="0.45">
      <c r="A146" t="s">
        <v>716</v>
      </c>
      <c r="B146">
        <v>25</v>
      </c>
      <c r="C146" t="s">
        <v>32</v>
      </c>
      <c r="D146" t="s">
        <v>33</v>
      </c>
      <c r="E146">
        <v>3792.08</v>
      </c>
      <c r="F146">
        <v>9525.4599999999991</v>
      </c>
      <c r="G146" t="s">
        <v>19</v>
      </c>
      <c r="H146" s="1">
        <v>45410</v>
      </c>
      <c r="I146" s="1">
        <v>45451</v>
      </c>
      <c r="J146" t="s">
        <v>717</v>
      </c>
      <c r="K146" t="s">
        <v>21</v>
      </c>
      <c r="L146" t="s">
        <v>22</v>
      </c>
      <c r="M146">
        <v>0.9</v>
      </c>
      <c r="N146" t="s">
        <v>718</v>
      </c>
      <c r="O146">
        <f>61-494-575-253</f>
        <v>-1261</v>
      </c>
      <c r="P146" t="s">
        <v>719</v>
      </c>
    </row>
    <row r="147" spans="1:16" x14ac:dyDescent="0.45">
      <c r="A147" t="s">
        <v>720</v>
      </c>
      <c r="B147">
        <v>20</v>
      </c>
      <c r="C147" t="s">
        <v>40</v>
      </c>
      <c r="D147" t="s">
        <v>41</v>
      </c>
      <c r="E147">
        <v>2527.7800000000002</v>
      </c>
      <c r="F147">
        <v>18009.830000000002</v>
      </c>
      <c r="G147" t="s">
        <v>19</v>
      </c>
      <c r="H147" s="1">
        <v>44777</v>
      </c>
      <c r="I147" s="1">
        <v>45716</v>
      </c>
      <c r="J147" t="s">
        <v>721</v>
      </c>
      <c r="K147" t="s">
        <v>21</v>
      </c>
      <c r="L147" t="s">
        <v>43</v>
      </c>
      <c r="M147">
        <v>0.99</v>
      </c>
      <c r="N147" t="s">
        <v>722</v>
      </c>
      <c r="O147" t="s">
        <v>723</v>
      </c>
      <c r="P147" t="s">
        <v>724</v>
      </c>
    </row>
    <row r="148" spans="1:16" x14ac:dyDescent="0.45">
      <c r="A148" t="s">
        <v>725</v>
      </c>
      <c r="B148">
        <v>64</v>
      </c>
      <c r="C148" t="s">
        <v>40</v>
      </c>
      <c r="D148" t="s">
        <v>41</v>
      </c>
      <c r="E148">
        <v>3864.7</v>
      </c>
      <c r="F148">
        <v>6858.97</v>
      </c>
      <c r="G148" t="s">
        <v>19</v>
      </c>
      <c r="H148" s="1">
        <v>45430</v>
      </c>
      <c r="I148" s="1">
        <v>45533</v>
      </c>
      <c r="J148" t="s">
        <v>726</v>
      </c>
      <c r="K148" t="s">
        <v>35</v>
      </c>
      <c r="L148" t="s">
        <v>22</v>
      </c>
      <c r="M148">
        <v>0.31</v>
      </c>
      <c r="N148" t="s">
        <v>727</v>
      </c>
      <c r="O148">
        <f>61-3-2364-947</f>
        <v>-3253</v>
      </c>
      <c r="P148" t="s">
        <v>728</v>
      </c>
    </row>
    <row r="149" spans="1:16" x14ac:dyDescent="0.45">
      <c r="A149" t="s">
        <v>729</v>
      </c>
      <c r="B149">
        <v>43</v>
      </c>
      <c r="C149" t="s">
        <v>48</v>
      </c>
      <c r="D149" t="s">
        <v>41</v>
      </c>
      <c r="E149">
        <v>4732.9799999999996</v>
      </c>
      <c r="F149">
        <v>14867.49</v>
      </c>
      <c r="G149" t="s">
        <v>19</v>
      </c>
      <c r="H149" s="1">
        <v>45345</v>
      </c>
      <c r="I149" s="1">
        <v>45662</v>
      </c>
      <c r="J149" t="s">
        <v>730</v>
      </c>
      <c r="K149" t="s">
        <v>21</v>
      </c>
      <c r="L149" t="s">
        <v>43</v>
      </c>
      <c r="M149">
        <v>0.13</v>
      </c>
      <c r="N149" t="s">
        <v>731</v>
      </c>
      <c r="O149" t="s">
        <v>732</v>
      </c>
      <c r="P149" t="s">
        <v>733</v>
      </c>
    </row>
    <row r="150" spans="1:16" x14ac:dyDescent="0.45">
      <c r="A150" t="s">
        <v>734</v>
      </c>
      <c r="B150">
        <v>19</v>
      </c>
      <c r="C150" t="s">
        <v>83</v>
      </c>
      <c r="D150" t="s">
        <v>33</v>
      </c>
      <c r="E150">
        <v>1370.39</v>
      </c>
      <c r="F150">
        <v>816.95</v>
      </c>
      <c r="G150" t="s">
        <v>19</v>
      </c>
      <c r="H150" s="1">
        <v>45250</v>
      </c>
      <c r="I150" s="1">
        <v>45433</v>
      </c>
      <c r="J150" t="s">
        <v>735</v>
      </c>
      <c r="K150" t="s">
        <v>21</v>
      </c>
      <c r="L150" t="s">
        <v>43</v>
      </c>
      <c r="M150">
        <v>0.27</v>
      </c>
      <c r="N150" t="s">
        <v>736</v>
      </c>
      <c r="O150" t="s">
        <v>737</v>
      </c>
      <c r="P150" t="s">
        <v>738</v>
      </c>
    </row>
    <row r="151" spans="1:16" x14ac:dyDescent="0.45">
      <c r="A151" t="s">
        <v>739</v>
      </c>
      <c r="B151">
        <v>48</v>
      </c>
      <c r="C151" t="s">
        <v>55</v>
      </c>
      <c r="D151" t="s">
        <v>84</v>
      </c>
      <c r="E151">
        <v>3201.85</v>
      </c>
      <c r="F151">
        <v>14910.33</v>
      </c>
      <c r="G151" t="s">
        <v>85</v>
      </c>
      <c r="H151" s="1">
        <v>45293</v>
      </c>
      <c r="I151" s="1">
        <v>45770</v>
      </c>
      <c r="J151" t="s">
        <v>740</v>
      </c>
      <c r="K151" t="s">
        <v>28</v>
      </c>
      <c r="L151" t="s">
        <v>36</v>
      </c>
      <c r="M151">
        <v>0.89</v>
      </c>
      <c r="N151" t="s">
        <v>741</v>
      </c>
      <c r="O151" t="s">
        <v>742</v>
      </c>
      <c r="P151" t="s">
        <v>743</v>
      </c>
    </row>
    <row r="152" spans="1:16" x14ac:dyDescent="0.45">
      <c r="A152" t="s">
        <v>744</v>
      </c>
      <c r="B152">
        <v>56</v>
      </c>
      <c r="C152" t="s">
        <v>32</v>
      </c>
      <c r="D152" t="s">
        <v>67</v>
      </c>
      <c r="E152">
        <v>1012.9</v>
      </c>
      <c r="F152">
        <v>16315.04</v>
      </c>
      <c r="G152" t="s">
        <v>19</v>
      </c>
      <c r="H152" s="1">
        <v>45162</v>
      </c>
      <c r="I152" s="1">
        <v>45584</v>
      </c>
      <c r="J152" t="s">
        <v>745</v>
      </c>
      <c r="K152" t="s">
        <v>35</v>
      </c>
      <c r="L152" t="s">
        <v>22</v>
      </c>
      <c r="M152">
        <v>0.83</v>
      </c>
      <c r="N152" t="s">
        <v>746</v>
      </c>
      <c r="O152" t="s">
        <v>747</v>
      </c>
      <c r="P152" t="s">
        <v>748</v>
      </c>
    </row>
    <row r="153" spans="1:16" x14ac:dyDescent="0.45">
      <c r="A153" t="s">
        <v>749</v>
      </c>
      <c r="B153">
        <v>34</v>
      </c>
      <c r="C153" t="s">
        <v>17</v>
      </c>
      <c r="D153" t="s">
        <v>33</v>
      </c>
      <c r="E153">
        <v>4988.28</v>
      </c>
      <c r="F153">
        <v>3699.72</v>
      </c>
      <c r="G153" t="s">
        <v>19</v>
      </c>
      <c r="H153" s="1">
        <v>45501</v>
      </c>
      <c r="I153" s="1">
        <v>45682</v>
      </c>
      <c r="J153" t="s">
        <v>750</v>
      </c>
      <c r="K153" t="s">
        <v>21</v>
      </c>
      <c r="L153" t="s">
        <v>43</v>
      </c>
      <c r="M153">
        <v>0.23</v>
      </c>
      <c r="N153" t="s">
        <v>751</v>
      </c>
      <c r="O153" t="s">
        <v>752</v>
      </c>
      <c r="P153" t="s">
        <v>753</v>
      </c>
    </row>
    <row r="154" spans="1:16" x14ac:dyDescent="0.45">
      <c r="A154" t="s">
        <v>754</v>
      </c>
      <c r="B154">
        <v>27</v>
      </c>
      <c r="C154" t="s">
        <v>48</v>
      </c>
      <c r="D154" t="s">
        <v>33</v>
      </c>
      <c r="E154">
        <v>458.53</v>
      </c>
      <c r="F154">
        <v>13416.62</v>
      </c>
      <c r="G154" t="s">
        <v>85</v>
      </c>
      <c r="H154" s="1">
        <v>45150</v>
      </c>
      <c r="I154" s="1">
        <v>45606</v>
      </c>
      <c r="J154" t="s">
        <v>755</v>
      </c>
      <c r="K154" t="s">
        <v>28</v>
      </c>
      <c r="L154" t="s">
        <v>22</v>
      </c>
      <c r="M154">
        <v>0.84</v>
      </c>
      <c r="N154" t="s">
        <v>756</v>
      </c>
      <c r="O154" t="s">
        <v>757</v>
      </c>
      <c r="P154" t="s">
        <v>758</v>
      </c>
    </row>
    <row r="155" spans="1:16" x14ac:dyDescent="0.45">
      <c r="A155" t="s">
        <v>759</v>
      </c>
      <c r="B155">
        <v>28</v>
      </c>
      <c r="C155" t="s">
        <v>55</v>
      </c>
      <c r="D155" t="s">
        <v>41</v>
      </c>
      <c r="E155">
        <v>403.94</v>
      </c>
      <c r="F155">
        <v>19987.14</v>
      </c>
      <c r="G155" t="s">
        <v>104</v>
      </c>
      <c r="H155" s="1">
        <v>45198</v>
      </c>
      <c r="I155" s="1">
        <v>45376</v>
      </c>
      <c r="J155" t="s">
        <v>760</v>
      </c>
      <c r="K155" t="s">
        <v>35</v>
      </c>
      <c r="L155" t="s">
        <v>43</v>
      </c>
      <c r="M155">
        <v>0.82</v>
      </c>
      <c r="N155" t="s">
        <v>761</v>
      </c>
      <c r="O155" t="s">
        <v>762</v>
      </c>
      <c r="P155" t="s">
        <v>763</v>
      </c>
    </row>
    <row r="156" spans="1:16" x14ac:dyDescent="0.45">
      <c r="A156" t="s">
        <v>764</v>
      </c>
      <c r="B156">
        <v>35</v>
      </c>
      <c r="C156" t="s">
        <v>55</v>
      </c>
      <c r="D156" t="s">
        <v>33</v>
      </c>
      <c r="E156">
        <v>2255.77</v>
      </c>
      <c r="F156">
        <v>8237.98</v>
      </c>
      <c r="G156" t="s">
        <v>19</v>
      </c>
      <c r="H156" s="1">
        <v>44944</v>
      </c>
      <c r="I156" s="1">
        <v>45549</v>
      </c>
      <c r="J156" t="s">
        <v>765</v>
      </c>
      <c r="K156" t="s">
        <v>35</v>
      </c>
      <c r="L156" t="s">
        <v>22</v>
      </c>
      <c r="M156">
        <v>0.71</v>
      </c>
      <c r="N156" t="s">
        <v>766</v>
      </c>
      <c r="O156" t="s">
        <v>767</v>
      </c>
      <c r="P156" t="s">
        <v>768</v>
      </c>
    </row>
    <row r="157" spans="1:16" x14ac:dyDescent="0.45">
      <c r="A157" t="s">
        <v>769</v>
      </c>
      <c r="B157">
        <v>56</v>
      </c>
      <c r="C157" t="s">
        <v>32</v>
      </c>
      <c r="D157" t="s">
        <v>84</v>
      </c>
      <c r="E157">
        <v>3650.61</v>
      </c>
      <c r="F157">
        <v>2317.19</v>
      </c>
      <c r="G157" t="s">
        <v>19</v>
      </c>
      <c r="H157" s="1">
        <v>45233</v>
      </c>
      <c r="I157" s="1">
        <v>45539</v>
      </c>
      <c r="J157" t="s">
        <v>770</v>
      </c>
      <c r="K157" t="s">
        <v>28</v>
      </c>
      <c r="L157" t="s">
        <v>36</v>
      </c>
      <c r="M157">
        <v>0.76</v>
      </c>
      <c r="N157" t="s">
        <v>771</v>
      </c>
      <c r="O157">
        <f>61-2-1060-5356</f>
        <v>-6357</v>
      </c>
      <c r="P157" t="s">
        <v>772</v>
      </c>
    </row>
    <row r="158" spans="1:16" x14ac:dyDescent="0.45">
      <c r="A158" t="s">
        <v>773</v>
      </c>
      <c r="B158">
        <v>29</v>
      </c>
      <c r="C158" t="s">
        <v>40</v>
      </c>
      <c r="D158" t="s">
        <v>18</v>
      </c>
      <c r="E158">
        <v>4596.91</v>
      </c>
      <c r="F158">
        <v>1922.02</v>
      </c>
      <c r="G158" t="s">
        <v>19</v>
      </c>
      <c r="H158" s="1">
        <v>45174</v>
      </c>
      <c r="I158" s="1">
        <v>45858</v>
      </c>
      <c r="J158" t="s">
        <v>774</v>
      </c>
      <c r="K158" t="s">
        <v>35</v>
      </c>
      <c r="L158" t="s">
        <v>22</v>
      </c>
      <c r="M158">
        <v>0.44</v>
      </c>
      <c r="N158" t="s">
        <v>775</v>
      </c>
      <c r="O158" t="s">
        <v>776</v>
      </c>
      <c r="P158" t="s">
        <v>777</v>
      </c>
    </row>
    <row r="159" spans="1:16" x14ac:dyDescent="0.45">
      <c r="A159" t="s">
        <v>778</v>
      </c>
      <c r="B159">
        <v>64</v>
      </c>
      <c r="C159" t="s">
        <v>66</v>
      </c>
      <c r="D159" t="s">
        <v>67</v>
      </c>
      <c r="E159">
        <v>2809.45</v>
      </c>
      <c r="F159">
        <v>18494.7</v>
      </c>
      <c r="G159" t="s">
        <v>85</v>
      </c>
      <c r="H159" s="1">
        <v>45307</v>
      </c>
      <c r="I159" s="1">
        <v>45511</v>
      </c>
      <c r="J159" t="s">
        <v>779</v>
      </c>
      <c r="K159" t="s">
        <v>28</v>
      </c>
      <c r="L159" t="s">
        <v>22</v>
      </c>
      <c r="M159">
        <v>0.5</v>
      </c>
      <c r="N159" t="s">
        <v>780</v>
      </c>
      <c r="O159" t="s">
        <v>781</v>
      </c>
      <c r="P159" t="s">
        <v>782</v>
      </c>
    </row>
    <row r="160" spans="1:16" x14ac:dyDescent="0.45">
      <c r="A160" t="s">
        <v>783</v>
      </c>
      <c r="B160">
        <v>29</v>
      </c>
      <c r="C160" t="s">
        <v>55</v>
      </c>
      <c r="D160" t="s">
        <v>67</v>
      </c>
      <c r="E160">
        <v>2895.87</v>
      </c>
      <c r="F160">
        <v>6990.8</v>
      </c>
      <c r="G160" t="s">
        <v>19</v>
      </c>
      <c r="H160" s="1">
        <v>45385</v>
      </c>
      <c r="I160" s="1">
        <v>45467</v>
      </c>
      <c r="J160" t="s">
        <v>784</v>
      </c>
      <c r="K160" t="s">
        <v>35</v>
      </c>
      <c r="L160" t="s">
        <v>22</v>
      </c>
      <c r="M160">
        <v>0.99</v>
      </c>
      <c r="N160" t="s">
        <v>785</v>
      </c>
      <c r="O160" t="s">
        <v>786</v>
      </c>
      <c r="P160" t="s">
        <v>787</v>
      </c>
    </row>
    <row r="161" spans="1:16" x14ac:dyDescent="0.45">
      <c r="A161" t="s">
        <v>788</v>
      </c>
      <c r="B161">
        <v>53</v>
      </c>
      <c r="C161" t="s">
        <v>66</v>
      </c>
      <c r="D161" t="s">
        <v>84</v>
      </c>
      <c r="E161">
        <v>4212.9799999999996</v>
      </c>
      <c r="F161">
        <v>16303.52</v>
      </c>
      <c r="G161" t="s">
        <v>19</v>
      </c>
      <c r="H161" s="1">
        <v>45209</v>
      </c>
      <c r="I161" s="1">
        <v>45863</v>
      </c>
      <c r="J161" t="s">
        <v>789</v>
      </c>
      <c r="K161" t="s">
        <v>21</v>
      </c>
      <c r="L161" t="s">
        <v>43</v>
      </c>
      <c r="M161">
        <v>0.34</v>
      </c>
      <c r="N161" t="s">
        <v>790</v>
      </c>
      <c r="O161" t="s">
        <v>791</v>
      </c>
      <c r="P161" t="s">
        <v>792</v>
      </c>
    </row>
    <row r="162" spans="1:16" x14ac:dyDescent="0.45">
      <c r="A162" t="s">
        <v>793</v>
      </c>
      <c r="B162">
        <v>59</v>
      </c>
      <c r="C162" t="s">
        <v>48</v>
      </c>
      <c r="D162" t="s">
        <v>67</v>
      </c>
      <c r="E162">
        <v>1051.29</v>
      </c>
      <c r="F162">
        <v>17233.330000000002</v>
      </c>
      <c r="G162" t="s">
        <v>19</v>
      </c>
      <c r="H162" s="1">
        <v>45176</v>
      </c>
      <c r="I162" s="1">
        <v>45723</v>
      </c>
      <c r="J162" t="s">
        <v>794</v>
      </c>
      <c r="K162" t="s">
        <v>28</v>
      </c>
      <c r="L162" t="s">
        <v>22</v>
      </c>
      <c r="M162">
        <v>0.34</v>
      </c>
      <c r="N162" t="s">
        <v>795</v>
      </c>
      <c r="O162" t="s">
        <v>796</v>
      </c>
      <c r="P162" t="s">
        <v>797</v>
      </c>
    </row>
    <row r="163" spans="1:16" x14ac:dyDescent="0.45">
      <c r="A163" t="s">
        <v>798</v>
      </c>
      <c r="B163">
        <v>43</v>
      </c>
      <c r="C163" t="s">
        <v>32</v>
      </c>
      <c r="D163" t="s">
        <v>33</v>
      </c>
      <c r="E163">
        <v>3527.01</v>
      </c>
      <c r="F163">
        <v>18111.84</v>
      </c>
      <c r="G163" t="s">
        <v>85</v>
      </c>
      <c r="H163" s="1">
        <v>45063</v>
      </c>
      <c r="I163" s="1">
        <v>45621</v>
      </c>
      <c r="J163" t="s">
        <v>799</v>
      </c>
      <c r="K163" t="s">
        <v>21</v>
      </c>
      <c r="L163" t="s">
        <v>43</v>
      </c>
      <c r="M163">
        <v>0.48</v>
      </c>
      <c r="N163" t="s">
        <v>800</v>
      </c>
      <c r="O163" t="s">
        <v>801</v>
      </c>
      <c r="P163" t="s">
        <v>802</v>
      </c>
    </row>
    <row r="164" spans="1:16" x14ac:dyDescent="0.45">
      <c r="A164" t="s">
        <v>803</v>
      </c>
      <c r="B164">
        <v>52</v>
      </c>
      <c r="C164" t="s">
        <v>48</v>
      </c>
      <c r="D164" t="s">
        <v>84</v>
      </c>
      <c r="E164">
        <v>1630.99</v>
      </c>
      <c r="F164">
        <v>12060.95</v>
      </c>
      <c r="G164" t="s">
        <v>19</v>
      </c>
      <c r="H164" s="1">
        <v>45283</v>
      </c>
      <c r="I164" s="1">
        <v>45493</v>
      </c>
      <c r="J164" t="s">
        <v>804</v>
      </c>
      <c r="K164" t="s">
        <v>28</v>
      </c>
      <c r="L164" t="s">
        <v>43</v>
      </c>
      <c r="M164">
        <v>0.08</v>
      </c>
      <c r="N164" t="s">
        <v>805</v>
      </c>
      <c r="O164">
        <v>340215415</v>
      </c>
      <c r="P164" t="s">
        <v>806</v>
      </c>
    </row>
    <row r="165" spans="1:16" x14ac:dyDescent="0.45">
      <c r="A165" t="s">
        <v>807</v>
      </c>
      <c r="B165">
        <v>61</v>
      </c>
      <c r="C165" t="s">
        <v>17</v>
      </c>
      <c r="D165" t="s">
        <v>41</v>
      </c>
      <c r="E165">
        <v>4655.25</v>
      </c>
      <c r="F165">
        <v>625.25</v>
      </c>
      <c r="G165" t="s">
        <v>19</v>
      </c>
      <c r="H165" s="1">
        <v>45055</v>
      </c>
      <c r="I165" s="1">
        <v>45712</v>
      </c>
      <c r="J165" t="s">
        <v>808</v>
      </c>
      <c r="K165" t="s">
        <v>50</v>
      </c>
      <c r="L165" t="s">
        <v>43</v>
      </c>
      <c r="M165">
        <v>0.36</v>
      </c>
      <c r="N165" t="s">
        <v>809</v>
      </c>
      <c r="O165">
        <f>61-8-9391-8436</f>
        <v>-17774</v>
      </c>
      <c r="P165" t="s">
        <v>810</v>
      </c>
    </row>
    <row r="166" spans="1:16" x14ac:dyDescent="0.45">
      <c r="A166" t="s">
        <v>811</v>
      </c>
      <c r="B166">
        <v>39</v>
      </c>
      <c r="C166" t="s">
        <v>32</v>
      </c>
      <c r="D166" t="s">
        <v>33</v>
      </c>
      <c r="E166">
        <v>2491.9499999999998</v>
      </c>
      <c r="F166">
        <v>15942.96</v>
      </c>
      <c r="G166" t="s">
        <v>104</v>
      </c>
      <c r="H166" s="1">
        <v>45037</v>
      </c>
      <c r="I166" s="1">
        <v>45433</v>
      </c>
      <c r="J166" t="s">
        <v>812</v>
      </c>
      <c r="K166" t="s">
        <v>50</v>
      </c>
      <c r="L166" t="s">
        <v>36</v>
      </c>
      <c r="M166">
        <v>0.3</v>
      </c>
      <c r="N166" t="s">
        <v>813</v>
      </c>
      <c r="O166" t="s">
        <v>814</v>
      </c>
      <c r="P166" t="s">
        <v>815</v>
      </c>
    </row>
    <row r="167" spans="1:16" x14ac:dyDescent="0.45">
      <c r="A167" t="s">
        <v>816</v>
      </c>
      <c r="B167">
        <v>55</v>
      </c>
      <c r="C167" t="s">
        <v>66</v>
      </c>
      <c r="D167" t="s">
        <v>18</v>
      </c>
      <c r="E167">
        <v>2475.19</v>
      </c>
      <c r="F167">
        <v>17068.400000000001</v>
      </c>
      <c r="G167" t="s">
        <v>19</v>
      </c>
      <c r="H167" s="1">
        <v>45388</v>
      </c>
      <c r="I167" s="1">
        <v>45659</v>
      </c>
      <c r="J167" t="s">
        <v>817</v>
      </c>
      <c r="K167" t="s">
        <v>28</v>
      </c>
      <c r="L167" t="s">
        <v>43</v>
      </c>
      <c r="M167">
        <v>0.82</v>
      </c>
      <c r="N167" t="s">
        <v>818</v>
      </c>
      <c r="O167">
        <f>61-454-797-465</f>
        <v>-1655</v>
      </c>
      <c r="P167" t="s">
        <v>819</v>
      </c>
    </row>
    <row r="168" spans="1:16" x14ac:dyDescent="0.45">
      <c r="A168" t="s">
        <v>820</v>
      </c>
      <c r="B168">
        <v>51</v>
      </c>
      <c r="C168" t="s">
        <v>66</v>
      </c>
      <c r="D168" t="s">
        <v>67</v>
      </c>
      <c r="E168">
        <v>3675.73</v>
      </c>
      <c r="F168">
        <v>9191.6</v>
      </c>
      <c r="G168" t="s">
        <v>104</v>
      </c>
      <c r="H168" s="1">
        <v>45214</v>
      </c>
      <c r="I168" s="1">
        <v>45370</v>
      </c>
      <c r="J168" t="s">
        <v>821</v>
      </c>
      <c r="K168" t="s">
        <v>28</v>
      </c>
      <c r="L168" t="s">
        <v>36</v>
      </c>
      <c r="M168">
        <v>0.02</v>
      </c>
      <c r="N168" t="s">
        <v>822</v>
      </c>
      <c r="O168" t="s">
        <v>823</v>
      </c>
      <c r="P168" t="s">
        <v>824</v>
      </c>
    </row>
    <row r="169" spans="1:16" x14ac:dyDescent="0.45">
      <c r="A169" t="s">
        <v>825</v>
      </c>
      <c r="B169">
        <v>32</v>
      </c>
      <c r="C169" t="s">
        <v>55</v>
      </c>
      <c r="D169" t="s">
        <v>84</v>
      </c>
      <c r="E169">
        <v>3050.64</v>
      </c>
      <c r="F169">
        <v>5187.78</v>
      </c>
      <c r="G169" t="s">
        <v>19</v>
      </c>
      <c r="H169" s="1">
        <v>45419</v>
      </c>
      <c r="I169" s="1">
        <v>45601</v>
      </c>
      <c r="J169" t="s">
        <v>826</v>
      </c>
      <c r="K169" t="s">
        <v>21</v>
      </c>
      <c r="L169" t="s">
        <v>36</v>
      </c>
      <c r="M169">
        <v>7.0000000000000007E-2</v>
      </c>
      <c r="N169" t="s">
        <v>827</v>
      </c>
      <c r="O169">
        <v>61846866941</v>
      </c>
      <c r="P169" t="s">
        <v>828</v>
      </c>
    </row>
    <row r="170" spans="1:16" x14ac:dyDescent="0.45">
      <c r="A170" t="s">
        <v>829</v>
      </c>
      <c r="B170">
        <v>60</v>
      </c>
      <c r="C170" t="s">
        <v>66</v>
      </c>
      <c r="D170" t="s">
        <v>33</v>
      </c>
      <c r="E170">
        <v>1124.01</v>
      </c>
      <c r="F170">
        <v>10965.53</v>
      </c>
      <c r="G170" t="s">
        <v>19</v>
      </c>
      <c r="H170" s="1">
        <v>44932</v>
      </c>
      <c r="I170" s="1">
        <v>45808</v>
      </c>
      <c r="J170" t="s">
        <v>830</v>
      </c>
      <c r="K170" t="s">
        <v>50</v>
      </c>
      <c r="L170" t="s">
        <v>22</v>
      </c>
      <c r="M170">
        <v>0.86</v>
      </c>
      <c r="N170" t="s">
        <v>831</v>
      </c>
      <c r="O170">
        <f>61-2-2022-5171</f>
        <v>-7134</v>
      </c>
      <c r="P170" t="s">
        <v>832</v>
      </c>
    </row>
    <row r="171" spans="1:16" x14ac:dyDescent="0.45">
      <c r="A171" t="s">
        <v>833</v>
      </c>
      <c r="B171">
        <v>58</v>
      </c>
      <c r="C171" t="s">
        <v>40</v>
      </c>
      <c r="D171" t="s">
        <v>18</v>
      </c>
      <c r="E171">
        <v>2713.45</v>
      </c>
      <c r="F171">
        <v>15401.46</v>
      </c>
      <c r="G171" t="s">
        <v>19</v>
      </c>
      <c r="H171" s="1">
        <v>45095</v>
      </c>
      <c r="I171" s="1">
        <v>45416</v>
      </c>
      <c r="J171" t="s">
        <v>834</v>
      </c>
      <c r="K171" t="s">
        <v>35</v>
      </c>
      <c r="L171" t="s">
        <v>36</v>
      </c>
      <c r="M171">
        <v>0.18</v>
      </c>
      <c r="N171" t="s">
        <v>835</v>
      </c>
      <c r="O171" t="s">
        <v>836</v>
      </c>
      <c r="P171" t="s">
        <v>837</v>
      </c>
    </row>
    <row r="172" spans="1:16" x14ac:dyDescent="0.45">
      <c r="A172" t="s">
        <v>838</v>
      </c>
      <c r="B172">
        <v>48</v>
      </c>
      <c r="C172" t="s">
        <v>48</v>
      </c>
      <c r="D172" t="s">
        <v>33</v>
      </c>
      <c r="E172">
        <v>2811.62</v>
      </c>
      <c r="F172">
        <v>9675.16</v>
      </c>
      <c r="G172" t="s">
        <v>19</v>
      </c>
      <c r="H172" s="1">
        <v>45472</v>
      </c>
      <c r="I172" s="1">
        <v>45761</v>
      </c>
      <c r="J172" t="s">
        <v>839</v>
      </c>
      <c r="K172" t="s">
        <v>35</v>
      </c>
      <c r="L172" t="s">
        <v>36</v>
      </c>
      <c r="M172">
        <v>0.42</v>
      </c>
      <c r="N172" t="s">
        <v>840</v>
      </c>
      <c r="O172" t="s">
        <v>841</v>
      </c>
      <c r="P172" t="s">
        <v>842</v>
      </c>
    </row>
    <row r="173" spans="1:16" x14ac:dyDescent="0.45">
      <c r="A173" t="s">
        <v>843</v>
      </c>
      <c r="B173">
        <v>50</v>
      </c>
      <c r="C173" t="s">
        <v>48</v>
      </c>
      <c r="D173" t="s">
        <v>84</v>
      </c>
      <c r="E173">
        <v>1809.01</v>
      </c>
      <c r="F173">
        <v>9931.3799999999992</v>
      </c>
      <c r="G173" t="s">
        <v>19</v>
      </c>
      <c r="H173" s="1">
        <v>45046</v>
      </c>
      <c r="I173" s="1">
        <v>45673</v>
      </c>
      <c r="J173" t="s">
        <v>844</v>
      </c>
      <c r="K173" t="s">
        <v>50</v>
      </c>
      <c r="L173" t="s">
        <v>22</v>
      </c>
      <c r="M173">
        <v>0.85</v>
      </c>
      <c r="N173" t="s">
        <v>845</v>
      </c>
      <c r="O173" t="s">
        <v>846</v>
      </c>
      <c r="P173" t="s">
        <v>847</v>
      </c>
    </row>
    <row r="174" spans="1:16" x14ac:dyDescent="0.45">
      <c r="A174" t="s">
        <v>848</v>
      </c>
      <c r="B174">
        <v>37</v>
      </c>
      <c r="C174" t="s">
        <v>83</v>
      </c>
      <c r="D174" t="s">
        <v>84</v>
      </c>
      <c r="E174">
        <v>4468.37</v>
      </c>
      <c r="F174">
        <v>19091.29</v>
      </c>
      <c r="G174" t="s">
        <v>85</v>
      </c>
      <c r="H174" s="1">
        <v>45114</v>
      </c>
      <c r="I174" s="1">
        <v>45203</v>
      </c>
      <c r="J174" t="s">
        <v>849</v>
      </c>
      <c r="K174" t="s">
        <v>35</v>
      </c>
      <c r="L174" t="s">
        <v>22</v>
      </c>
      <c r="M174">
        <v>0.38</v>
      </c>
      <c r="N174" t="s">
        <v>850</v>
      </c>
      <c r="O174">
        <f>61-405-659-100</f>
        <v>-1103</v>
      </c>
      <c r="P174" t="s">
        <v>851</v>
      </c>
    </row>
    <row r="175" spans="1:16" x14ac:dyDescent="0.45">
      <c r="A175" t="s">
        <v>852</v>
      </c>
      <c r="B175">
        <v>41</v>
      </c>
      <c r="C175" t="s">
        <v>17</v>
      </c>
      <c r="D175" t="s">
        <v>41</v>
      </c>
      <c r="E175">
        <v>4128.3</v>
      </c>
      <c r="F175">
        <v>9311.3799999999992</v>
      </c>
      <c r="G175" t="s">
        <v>19</v>
      </c>
      <c r="H175" s="1">
        <v>44827</v>
      </c>
      <c r="I175" s="1">
        <v>45562</v>
      </c>
      <c r="J175" t="s">
        <v>853</v>
      </c>
      <c r="K175" t="s">
        <v>21</v>
      </c>
      <c r="L175" t="s">
        <v>43</v>
      </c>
      <c r="M175">
        <v>0.02</v>
      </c>
      <c r="N175" t="s">
        <v>854</v>
      </c>
      <c r="O175" t="s">
        <v>855</v>
      </c>
      <c r="P175" t="s">
        <v>856</v>
      </c>
    </row>
    <row r="176" spans="1:16" x14ac:dyDescent="0.45">
      <c r="A176" t="s">
        <v>857</v>
      </c>
      <c r="B176">
        <v>24</v>
      </c>
      <c r="C176" t="s">
        <v>40</v>
      </c>
      <c r="D176" t="s">
        <v>84</v>
      </c>
      <c r="E176">
        <v>3267.49</v>
      </c>
      <c r="F176">
        <v>4538.24</v>
      </c>
      <c r="G176" t="s">
        <v>104</v>
      </c>
      <c r="H176" s="1">
        <v>44824</v>
      </c>
      <c r="I176" s="1">
        <v>45521</v>
      </c>
      <c r="J176" t="s">
        <v>858</v>
      </c>
      <c r="K176" t="s">
        <v>21</v>
      </c>
      <c r="L176" t="s">
        <v>43</v>
      </c>
      <c r="M176">
        <v>0.15</v>
      </c>
      <c r="N176" t="s">
        <v>859</v>
      </c>
      <c r="O176" t="s">
        <v>860</v>
      </c>
      <c r="P176" t="s">
        <v>861</v>
      </c>
    </row>
    <row r="177" spans="1:16" x14ac:dyDescent="0.45">
      <c r="A177" t="s">
        <v>862</v>
      </c>
      <c r="B177">
        <v>18</v>
      </c>
      <c r="C177" t="s">
        <v>26</v>
      </c>
      <c r="D177" t="s">
        <v>84</v>
      </c>
      <c r="E177">
        <v>4493.2</v>
      </c>
      <c r="F177">
        <v>8706.7800000000007</v>
      </c>
      <c r="G177" t="s">
        <v>19</v>
      </c>
      <c r="H177" s="1">
        <v>45281</v>
      </c>
      <c r="I177" s="1">
        <v>45719</v>
      </c>
      <c r="J177" t="s">
        <v>863</v>
      </c>
      <c r="K177" t="s">
        <v>35</v>
      </c>
      <c r="L177" t="s">
        <v>22</v>
      </c>
      <c r="M177">
        <v>0.22</v>
      </c>
      <c r="N177" t="s">
        <v>864</v>
      </c>
      <c r="O177" t="s">
        <v>865</v>
      </c>
      <c r="P177" t="s">
        <v>866</v>
      </c>
    </row>
    <row r="178" spans="1:16" x14ac:dyDescent="0.45">
      <c r="A178" t="s">
        <v>867</v>
      </c>
      <c r="B178">
        <v>61</v>
      </c>
      <c r="C178" t="s">
        <v>40</v>
      </c>
      <c r="D178" t="s">
        <v>84</v>
      </c>
      <c r="E178">
        <v>4305.5</v>
      </c>
      <c r="F178">
        <v>13542.97</v>
      </c>
      <c r="G178" t="s">
        <v>19</v>
      </c>
      <c r="H178" s="1">
        <v>44996</v>
      </c>
      <c r="I178" s="1">
        <v>45140</v>
      </c>
      <c r="J178" t="s">
        <v>868</v>
      </c>
      <c r="K178" t="s">
        <v>50</v>
      </c>
      <c r="L178" t="s">
        <v>36</v>
      </c>
      <c r="M178">
        <v>0.94</v>
      </c>
      <c r="N178" t="s">
        <v>869</v>
      </c>
      <c r="O178" t="s">
        <v>870</v>
      </c>
      <c r="P178" t="s">
        <v>871</v>
      </c>
    </row>
    <row r="179" spans="1:16" x14ac:dyDescent="0.45">
      <c r="A179" t="s">
        <v>872</v>
      </c>
      <c r="B179">
        <v>32</v>
      </c>
      <c r="C179" t="s">
        <v>32</v>
      </c>
      <c r="D179" t="s">
        <v>18</v>
      </c>
      <c r="E179">
        <v>1661.74</v>
      </c>
      <c r="F179">
        <v>7913.06</v>
      </c>
      <c r="G179" t="s">
        <v>19</v>
      </c>
      <c r="H179" s="1">
        <v>45276</v>
      </c>
      <c r="I179" s="1">
        <v>45405</v>
      </c>
      <c r="J179" t="s">
        <v>873</v>
      </c>
      <c r="K179" t="s">
        <v>35</v>
      </c>
      <c r="L179" t="s">
        <v>36</v>
      </c>
      <c r="M179">
        <v>0.28999999999999998</v>
      </c>
      <c r="N179" t="s">
        <v>874</v>
      </c>
      <c r="O179" t="s">
        <v>875</v>
      </c>
      <c r="P179" t="s">
        <v>876</v>
      </c>
    </row>
    <row r="180" spans="1:16" x14ac:dyDescent="0.45">
      <c r="A180" t="s">
        <v>877</v>
      </c>
      <c r="B180">
        <v>38</v>
      </c>
      <c r="C180" t="s">
        <v>17</v>
      </c>
      <c r="D180" t="s">
        <v>67</v>
      </c>
      <c r="E180">
        <v>1945.56</v>
      </c>
      <c r="F180">
        <v>3958.88</v>
      </c>
      <c r="G180" t="s">
        <v>19</v>
      </c>
      <c r="H180" s="1">
        <v>44819</v>
      </c>
      <c r="I180" s="1">
        <v>45703</v>
      </c>
      <c r="J180" t="s">
        <v>878</v>
      </c>
      <c r="K180" t="s">
        <v>50</v>
      </c>
      <c r="L180" t="s">
        <v>43</v>
      </c>
      <c r="M180">
        <v>0.2</v>
      </c>
      <c r="N180" t="s">
        <v>879</v>
      </c>
      <c r="O180" t="s">
        <v>880</v>
      </c>
      <c r="P180" t="s">
        <v>881</v>
      </c>
    </row>
    <row r="181" spans="1:16" x14ac:dyDescent="0.45">
      <c r="A181" t="s">
        <v>882</v>
      </c>
      <c r="B181">
        <v>71</v>
      </c>
      <c r="C181" t="s">
        <v>17</v>
      </c>
      <c r="D181" t="s">
        <v>33</v>
      </c>
      <c r="E181">
        <v>2953.62</v>
      </c>
      <c r="F181">
        <v>1946.08</v>
      </c>
      <c r="G181" t="s">
        <v>104</v>
      </c>
      <c r="H181" s="1">
        <v>44842</v>
      </c>
      <c r="I181" s="1">
        <v>45868</v>
      </c>
      <c r="J181" t="s">
        <v>883</v>
      </c>
      <c r="K181" t="s">
        <v>35</v>
      </c>
      <c r="L181" t="s">
        <v>36</v>
      </c>
      <c r="M181">
        <v>0.95</v>
      </c>
      <c r="N181" t="s">
        <v>884</v>
      </c>
      <c r="O181" t="s">
        <v>885</v>
      </c>
      <c r="P181" t="s">
        <v>886</v>
      </c>
    </row>
    <row r="182" spans="1:16" x14ac:dyDescent="0.45">
      <c r="A182" t="s">
        <v>887</v>
      </c>
      <c r="B182">
        <v>36</v>
      </c>
      <c r="C182" t="s">
        <v>26</v>
      </c>
      <c r="D182" t="s">
        <v>41</v>
      </c>
      <c r="E182">
        <v>2712.32</v>
      </c>
      <c r="F182">
        <v>14505.84</v>
      </c>
      <c r="G182" t="s">
        <v>85</v>
      </c>
      <c r="H182" s="1">
        <v>45117</v>
      </c>
      <c r="I182" s="1">
        <v>45529</v>
      </c>
      <c r="J182" t="s">
        <v>888</v>
      </c>
      <c r="K182" t="s">
        <v>35</v>
      </c>
      <c r="L182" t="s">
        <v>43</v>
      </c>
      <c r="M182">
        <v>0.74</v>
      </c>
      <c r="N182" t="s">
        <v>889</v>
      </c>
      <c r="O182" t="s">
        <v>890</v>
      </c>
      <c r="P182" t="s">
        <v>891</v>
      </c>
    </row>
    <row r="183" spans="1:16" x14ac:dyDescent="0.45">
      <c r="A183" t="s">
        <v>892</v>
      </c>
      <c r="B183">
        <v>25</v>
      </c>
      <c r="C183" t="s">
        <v>32</v>
      </c>
      <c r="D183" t="s">
        <v>84</v>
      </c>
      <c r="E183">
        <v>1131.2</v>
      </c>
      <c r="F183">
        <v>490.98</v>
      </c>
      <c r="G183" t="s">
        <v>19</v>
      </c>
      <c r="H183" s="1">
        <v>45016</v>
      </c>
      <c r="I183" s="1">
        <v>45329</v>
      </c>
      <c r="J183" t="s">
        <v>893</v>
      </c>
      <c r="K183" t="s">
        <v>50</v>
      </c>
      <c r="L183" t="s">
        <v>36</v>
      </c>
      <c r="M183">
        <v>0.69</v>
      </c>
      <c r="N183" t="s">
        <v>894</v>
      </c>
      <c r="O183" t="s">
        <v>895</v>
      </c>
      <c r="P183" t="s">
        <v>896</v>
      </c>
    </row>
    <row r="184" spans="1:16" x14ac:dyDescent="0.45">
      <c r="A184" t="s">
        <v>897</v>
      </c>
      <c r="B184">
        <v>24</v>
      </c>
      <c r="C184" t="s">
        <v>32</v>
      </c>
      <c r="D184" t="s">
        <v>41</v>
      </c>
      <c r="E184">
        <v>2701.14</v>
      </c>
      <c r="F184">
        <v>3725.84</v>
      </c>
      <c r="G184" t="s">
        <v>19</v>
      </c>
      <c r="H184" s="1">
        <v>44845</v>
      </c>
      <c r="I184" s="1">
        <v>45219</v>
      </c>
      <c r="J184" t="s">
        <v>898</v>
      </c>
      <c r="K184" t="s">
        <v>21</v>
      </c>
      <c r="L184" t="s">
        <v>36</v>
      </c>
      <c r="M184">
        <v>0.28000000000000003</v>
      </c>
      <c r="N184" t="s">
        <v>899</v>
      </c>
      <c r="O184" t="s">
        <v>900</v>
      </c>
      <c r="P184" t="s">
        <v>901</v>
      </c>
    </row>
    <row r="185" spans="1:16" x14ac:dyDescent="0.45">
      <c r="A185" t="s">
        <v>902</v>
      </c>
      <c r="B185">
        <v>55</v>
      </c>
      <c r="C185" t="s">
        <v>32</v>
      </c>
      <c r="D185" t="s">
        <v>33</v>
      </c>
      <c r="E185">
        <v>749.98</v>
      </c>
      <c r="F185">
        <v>9559.48</v>
      </c>
      <c r="G185" t="s">
        <v>19</v>
      </c>
      <c r="H185" s="1">
        <v>44996</v>
      </c>
      <c r="I185" s="1">
        <v>45381</v>
      </c>
      <c r="J185" t="s">
        <v>903</v>
      </c>
      <c r="K185" t="s">
        <v>50</v>
      </c>
      <c r="L185" t="s">
        <v>43</v>
      </c>
      <c r="M185">
        <v>0.54</v>
      </c>
      <c r="N185" t="s">
        <v>904</v>
      </c>
      <c r="O185" t="s">
        <v>905</v>
      </c>
      <c r="P185" t="s">
        <v>906</v>
      </c>
    </row>
    <row r="186" spans="1:16" x14ac:dyDescent="0.45">
      <c r="A186" t="s">
        <v>907</v>
      </c>
      <c r="B186">
        <v>49</v>
      </c>
      <c r="C186" t="s">
        <v>40</v>
      </c>
      <c r="D186" t="s">
        <v>67</v>
      </c>
      <c r="E186">
        <v>1657.56</v>
      </c>
      <c r="F186">
        <v>17020.96</v>
      </c>
      <c r="G186" t="s">
        <v>19</v>
      </c>
      <c r="H186" s="1">
        <v>45064</v>
      </c>
      <c r="I186" s="1">
        <v>45576</v>
      </c>
      <c r="J186" t="s">
        <v>908</v>
      </c>
      <c r="K186" t="s">
        <v>21</v>
      </c>
      <c r="L186" t="s">
        <v>22</v>
      </c>
      <c r="M186">
        <v>0.06</v>
      </c>
      <c r="N186" t="s">
        <v>909</v>
      </c>
      <c r="O186">
        <v>6999.366</v>
      </c>
      <c r="P186" t="s">
        <v>910</v>
      </c>
    </row>
    <row r="187" spans="1:16" x14ac:dyDescent="0.45">
      <c r="A187" t="s">
        <v>911</v>
      </c>
      <c r="B187">
        <v>68</v>
      </c>
      <c r="C187" t="s">
        <v>55</v>
      </c>
      <c r="D187" t="s">
        <v>67</v>
      </c>
      <c r="E187">
        <v>2299.04</v>
      </c>
      <c r="F187">
        <v>10646.47</v>
      </c>
      <c r="G187" t="s">
        <v>19</v>
      </c>
      <c r="H187" s="1">
        <v>44844</v>
      </c>
      <c r="I187" s="1">
        <v>45787</v>
      </c>
      <c r="J187" t="s">
        <v>912</v>
      </c>
      <c r="K187" t="s">
        <v>50</v>
      </c>
      <c r="L187" t="s">
        <v>36</v>
      </c>
      <c r="M187">
        <v>0.13</v>
      </c>
      <c r="N187" t="s">
        <v>913</v>
      </c>
      <c r="O187" t="s">
        <v>914</v>
      </c>
      <c r="P187" t="s">
        <v>915</v>
      </c>
    </row>
    <row r="188" spans="1:16" x14ac:dyDescent="0.45">
      <c r="A188" t="s">
        <v>916</v>
      </c>
      <c r="B188">
        <v>47</v>
      </c>
      <c r="C188" t="s">
        <v>55</v>
      </c>
      <c r="D188" t="s">
        <v>84</v>
      </c>
      <c r="E188">
        <v>1749.52</v>
      </c>
      <c r="F188">
        <v>4853.37</v>
      </c>
      <c r="G188" t="s">
        <v>19</v>
      </c>
      <c r="H188" s="1">
        <v>44830</v>
      </c>
      <c r="I188" s="1">
        <v>45096</v>
      </c>
      <c r="J188" t="s">
        <v>917</v>
      </c>
      <c r="K188" t="s">
        <v>50</v>
      </c>
      <c r="L188" t="s">
        <v>36</v>
      </c>
      <c r="M188">
        <v>0.56000000000000005</v>
      </c>
      <c r="N188" t="s">
        <v>918</v>
      </c>
      <c r="O188" t="s">
        <v>919</v>
      </c>
      <c r="P188" t="s">
        <v>920</v>
      </c>
    </row>
    <row r="189" spans="1:16" x14ac:dyDescent="0.45">
      <c r="A189" t="s">
        <v>921</v>
      </c>
      <c r="B189">
        <v>42</v>
      </c>
      <c r="C189" t="s">
        <v>66</v>
      </c>
      <c r="D189" t="s">
        <v>41</v>
      </c>
      <c r="E189">
        <v>4944.58</v>
      </c>
      <c r="F189">
        <v>16993.12</v>
      </c>
      <c r="G189" t="s">
        <v>19</v>
      </c>
      <c r="H189" s="1">
        <v>45122</v>
      </c>
      <c r="I189" s="1">
        <v>45645</v>
      </c>
      <c r="J189" t="s">
        <v>922</v>
      </c>
      <c r="K189" t="s">
        <v>28</v>
      </c>
      <c r="L189" t="s">
        <v>22</v>
      </c>
      <c r="M189">
        <v>0.77</v>
      </c>
      <c r="N189" t="s">
        <v>923</v>
      </c>
      <c r="O189" t="s">
        <v>924</v>
      </c>
      <c r="P189" t="s">
        <v>925</v>
      </c>
    </row>
    <row r="190" spans="1:16" x14ac:dyDescent="0.45">
      <c r="A190" t="s">
        <v>926</v>
      </c>
      <c r="B190">
        <v>33</v>
      </c>
      <c r="C190" t="s">
        <v>48</v>
      </c>
      <c r="D190" t="s">
        <v>67</v>
      </c>
      <c r="E190">
        <v>496.78</v>
      </c>
      <c r="F190">
        <v>3676.32</v>
      </c>
      <c r="G190" t="s">
        <v>19</v>
      </c>
      <c r="H190" s="1">
        <v>45281</v>
      </c>
      <c r="I190" s="1">
        <v>45757</v>
      </c>
      <c r="J190" t="s">
        <v>927</v>
      </c>
      <c r="K190" t="s">
        <v>28</v>
      </c>
      <c r="L190" t="s">
        <v>36</v>
      </c>
      <c r="M190">
        <v>0.89</v>
      </c>
      <c r="N190" t="s">
        <v>928</v>
      </c>
      <c r="O190" t="s">
        <v>929</v>
      </c>
      <c r="P190" t="s">
        <v>930</v>
      </c>
    </row>
    <row r="191" spans="1:16" x14ac:dyDescent="0.45">
      <c r="A191" t="s">
        <v>931</v>
      </c>
      <c r="B191">
        <v>46</v>
      </c>
      <c r="C191" t="s">
        <v>40</v>
      </c>
      <c r="D191" t="s">
        <v>84</v>
      </c>
      <c r="E191">
        <v>1894.59</v>
      </c>
      <c r="F191">
        <v>18789.990000000002</v>
      </c>
      <c r="G191" t="s">
        <v>19</v>
      </c>
      <c r="H191" s="1">
        <v>44925</v>
      </c>
      <c r="I191" s="1">
        <v>45668</v>
      </c>
      <c r="J191" t="s">
        <v>932</v>
      </c>
      <c r="K191" t="s">
        <v>50</v>
      </c>
      <c r="L191" t="s">
        <v>22</v>
      </c>
      <c r="M191">
        <v>0.18</v>
      </c>
      <c r="N191" t="s">
        <v>933</v>
      </c>
      <c r="O191" t="s">
        <v>934</v>
      </c>
      <c r="P191" t="s">
        <v>935</v>
      </c>
    </row>
    <row r="192" spans="1:16" x14ac:dyDescent="0.45">
      <c r="A192" t="s">
        <v>936</v>
      </c>
      <c r="B192">
        <v>44</v>
      </c>
      <c r="C192" t="s">
        <v>55</v>
      </c>
      <c r="D192" t="s">
        <v>67</v>
      </c>
      <c r="E192">
        <v>2834.19</v>
      </c>
      <c r="F192">
        <v>19366.95</v>
      </c>
      <c r="G192" t="s">
        <v>85</v>
      </c>
      <c r="H192" s="1">
        <v>45203</v>
      </c>
      <c r="I192" s="1">
        <v>45838</v>
      </c>
      <c r="J192" t="s">
        <v>937</v>
      </c>
      <c r="K192" t="s">
        <v>28</v>
      </c>
      <c r="L192" t="s">
        <v>36</v>
      </c>
      <c r="M192">
        <v>0.61</v>
      </c>
      <c r="N192" t="s">
        <v>938</v>
      </c>
      <c r="O192" t="s">
        <v>939</v>
      </c>
      <c r="P192" t="s">
        <v>940</v>
      </c>
    </row>
    <row r="193" spans="1:16" x14ac:dyDescent="0.45">
      <c r="A193" t="s">
        <v>941</v>
      </c>
      <c r="B193">
        <v>30</v>
      </c>
      <c r="C193" t="s">
        <v>17</v>
      </c>
      <c r="D193" t="s">
        <v>41</v>
      </c>
      <c r="E193">
        <v>3735.57</v>
      </c>
      <c r="F193">
        <v>4972.1000000000004</v>
      </c>
      <c r="G193" t="s">
        <v>19</v>
      </c>
      <c r="H193" s="1">
        <v>45297</v>
      </c>
      <c r="I193" s="1">
        <v>45554</v>
      </c>
      <c r="J193" t="s">
        <v>942</v>
      </c>
      <c r="K193" t="s">
        <v>28</v>
      </c>
      <c r="L193" t="s">
        <v>36</v>
      </c>
      <c r="M193">
        <v>0.62</v>
      </c>
      <c r="N193" t="s">
        <v>943</v>
      </c>
      <c r="O193" t="s">
        <v>944</v>
      </c>
      <c r="P193" t="s">
        <v>945</v>
      </c>
    </row>
    <row r="194" spans="1:16" x14ac:dyDescent="0.45">
      <c r="A194" t="s">
        <v>946</v>
      </c>
      <c r="B194">
        <v>45</v>
      </c>
      <c r="C194" t="s">
        <v>40</v>
      </c>
      <c r="D194" t="s">
        <v>33</v>
      </c>
      <c r="E194">
        <v>2875.2</v>
      </c>
      <c r="F194">
        <v>8761.9</v>
      </c>
      <c r="G194" t="s">
        <v>19</v>
      </c>
      <c r="H194" s="1">
        <v>44905</v>
      </c>
      <c r="I194" s="1">
        <v>45451</v>
      </c>
      <c r="J194" t="s">
        <v>947</v>
      </c>
      <c r="K194" t="s">
        <v>50</v>
      </c>
      <c r="L194" t="s">
        <v>22</v>
      </c>
      <c r="M194">
        <v>0.95</v>
      </c>
      <c r="N194" t="s">
        <v>948</v>
      </c>
      <c r="O194">
        <f>61-498-385-489</f>
        <v>-1311</v>
      </c>
      <c r="P194" t="s">
        <v>949</v>
      </c>
    </row>
    <row r="195" spans="1:16" x14ac:dyDescent="0.45">
      <c r="A195" t="s">
        <v>950</v>
      </c>
      <c r="B195">
        <v>56</v>
      </c>
      <c r="C195" t="s">
        <v>66</v>
      </c>
      <c r="D195" t="s">
        <v>18</v>
      </c>
      <c r="E195">
        <v>4736.5</v>
      </c>
      <c r="F195">
        <v>15979.02</v>
      </c>
      <c r="G195" t="s">
        <v>85</v>
      </c>
      <c r="H195" s="1">
        <v>44854</v>
      </c>
      <c r="I195" s="1">
        <v>44935</v>
      </c>
      <c r="J195" t="s">
        <v>951</v>
      </c>
      <c r="K195" t="s">
        <v>35</v>
      </c>
      <c r="L195" t="s">
        <v>22</v>
      </c>
      <c r="M195">
        <v>0.73</v>
      </c>
      <c r="N195" t="s">
        <v>952</v>
      </c>
      <c r="O195" t="s">
        <v>953</v>
      </c>
      <c r="P195" t="s">
        <v>954</v>
      </c>
    </row>
    <row r="196" spans="1:16" x14ac:dyDescent="0.45">
      <c r="A196" t="s">
        <v>955</v>
      </c>
      <c r="B196">
        <v>27</v>
      </c>
      <c r="C196" t="s">
        <v>26</v>
      </c>
      <c r="D196" t="s">
        <v>84</v>
      </c>
      <c r="E196">
        <v>981.92</v>
      </c>
      <c r="F196">
        <v>9864.5400000000009</v>
      </c>
      <c r="G196" t="s">
        <v>19</v>
      </c>
      <c r="H196" s="1">
        <v>45128</v>
      </c>
      <c r="I196" s="1">
        <v>45779</v>
      </c>
      <c r="J196" t="s">
        <v>956</v>
      </c>
      <c r="K196" t="s">
        <v>21</v>
      </c>
      <c r="L196" t="s">
        <v>43</v>
      </c>
      <c r="M196">
        <v>0.82</v>
      </c>
      <c r="N196" t="s">
        <v>957</v>
      </c>
      <c r="O196" t="s">
        <v>958</v>
      </c>
      <c r="P196" t="s">
        <v>959</v>
      </c>
    </row>
    <row r="197" spans="1:16" x14ac:dyDescent="0.45">
      <c r="A197" t="s">
        <v>960</v>
      </c>
      <c r="B197">
        <v>36</v>
      </c>
      <c r="C197" t="s">
        <v>26</v>
      </c>
      <c r="D197" t="s">
        <v>33</v>
      </c>
      <c r="E197">
        <v>1566</v>
      </c>
      <c r="F197">
        <v>1265.56</v>
      </c>
      <c r="G197" t="s">
        <v>19</v>
      </c>
      <c r="H197" s="1">
        <v>45035</v>
      </c>
      <c r="I197" s="1">
        <v>45541</v>
      </c>
      <c r="J197" t="s">
        <v>961</v>
      </c>
      <c r="K197" t="s">
        <v>21</v>
      </c>
      <c r="L197" t="s">
        <v>43</v>
      </c>
      <c r="M197">
        <v>0.28999999999999998</v>
      </c>
      <c r="N197" t="s">
        <v>962</v>
      </c>
      <c r="O197" t="s">
        <v>963</v>
      </c>
      <c r="P197" t="s">
        <v>964</v>
      </c>
    </row>
    <row r="198" spans="1:16" x14ac:dyDescent="0.45">
      <c r="A198" t="s">
        <v>965</v>
      </c>
      <c r="B198">
        <v>24</v>
      </c>
      <c r="C198" t="s">
        <v>17</v>
      </c>
      <c r="D198" t="s">
        <v>41</v>
      </c>
      <c r="E198">
        <v>3309.62</v>
      </c>
      <c r="F198">
        <v>14808.51</v>
      </c>
      <c r="G198" t="s">
        <v>85</v>
      </c>
      <c r="H198" s="1">
        <v>45037</v>
      </c>
      <c r="I198" s="1">
        <v>45499</v>
      </c>
      <c r="J198" t="s">
        <v>966</v>
      </c>
      <c r="K198" t="s">
        <v>35</v>
      </c>
      <c r="L198" t="s">
        <v>43</v>
      </c>
      <c r="M198">
        <v>0.23</v>
      </c>
      <c r="N198" t="s">
        <v>967</v>
      </c>
      <c r="O198" t="s">
        <v>968</v>
      </c>
      <c r="P198" t="s">
        <v>969</v>
      </c>
    </row>
    <row r="199" spans="1:16" x14ac:dyDescent="0.45">
      <c r="A199" t="s">
        <v>970</v>
      </c>
      <c r="B199">
        <v>47</v>
      </c>
      <c r="C199" t="s">
        <v>40</v>
      </c>
      <c r="D199" t="s">
        <v>33</v>
      </c>
      <c r="E199">
        <v>2322.13</v>
      </c>
      <c r="F199">
        <v>13263.6</v>
      </c>
      <c r="G199" t="s">
        <v>85</v>
      </c>
      <c r="H199" s="1">
        <v>44938</v>
      </c>
      <c r="I199" s="1">
        <v>45202</v>
      </c>
      <c r="J199" t="s">
        <v>971</v>
      </c>
      <c r="K199" t="s">
        <v>50</v>
      </c>
      <c r="L199" t="s">
        <v>36</v>
      </c>
      <c r="M199">
        <v>0.37</v>
      </c>
      <c r="N199" t="s">
        <v>972</v>
      </c>
      <c r="O199" t="s">
        <v>973</v>
      </c>
      <c r="P199" t="s">
        <v>974</v>
      </c>
    </row>
    <row r="200" spans="1:16" x14ac:dyDescent="0.45">
      <c r="A200" t="s">
        <v>975</v>
      </c>
      <c r="B200">
        <v>24</v>
      </c>
      <c r="C200" t="s">
        <v>48</v>
      </c>
      <c r="D200" t="s">
        <v>41</v>
      </c>
      <c r="E200">
        <v>4789.63</v>
      </c>
      <c r="F200">
        <v>18143.79</v>
      </c>
      <c r="G200" t="s">
        <v>19</v>
      </c>
      <c r="H200" s="1">
        <v>44814</v>
      </c>
      <c r="I200" s="1">
        <v>45257</v>
      </c>
      <c r="J200" t="s">
        <v>976</v>
      </c>
      <c r="K200" t="s">
        <v>28</v>
      </c>
      <c r="L200" t="s">
        <v>36</v>
      </c>
      <c r="M200">
        <v>0.91</v>
      </c>
      <c r="N200" t="s">
        <v>977</v>
      </c>
      <c r="O200" t="s">
        <v>978</v>
      </c>
      <c r="P200" t="s">
        <v>979</v>
      </c>
    </row>
    <row r="201" spans="1:16" x14ac:dyDescent="0.45">
      <c r="A201" t="s">
        <v>980</v>
      </c>
      <c r="B201">
        <v>69</v>
      </c>
      <c r="C201" t="s">
        <v>83</v>
      </c>
      <c r="D201" t="s">
        <v>41</v>
      </c>
      <c r="E201">
        <v>4333.22</v>
      </c>
      <c r="F201">
        <v>14057.35</v>
      </c>
      <c r="G201" t="s">
        <v>19</v>
      </c>
      <c r="H201" s="1">
        <v>45117</v>
      </c>
      <c r="I201" s="1">
        <v>45504</v>
      </c>
      <c r="J201" t="s">
        <v>981</v>
      </c>
      <c r="K201" t="s">
        <v>50</v>
      </c>
      <c r="L201" t="s">
        <v>43</v>
      </c>
      <c r="M201">
        <v>0.64</v>
      </c>
      <c r="N201" t="s">
        <v>982</v>
      </c>
      <c r="O201">
        <v>61393772085</v>
      </c>
      <c r="P201" t="s">
        <v>983</v>
      </c>
    </row>
    <row r="202" spans="1:16" x14ac:dyDescent="0.45">
      <c r="A202" t="s">
        <v>984</v>
      </c>
      <c r="B202">
        <v>31</v>
      </c>
      <c r="C202" t="s">
        <v>32</v>
      </c>
      <c r="D202" t="s">
        <v>67</v>
      </c>
      <c r="E202">
        <v>376.27</v>
      </c>
      <c r="F202">
        <v>1457.53</v>
      </c>
      <c r="G202" t="s">
        <v>19</v>
      </c>
      <c r="H202" s="1">
        <v>45392</v>
      </c>
      <c r="I202" s="1">
        <v>45456</v>
      </c>
      <c r="J202" t="s">
        <v>985</v>
      </c>
      <c r="K202" t="s">
        <v>28</v>
      </c>
      <c r="L202" t="s">
        <v>36</v>
      </c>
      <c r="M202">
        <v>0.95</v>
      </c>
      <c r="N202" t="s">
        <v>986</v>
      </c>
      <c r="O202" t="s">
        <v>987</v>
      </c>
      <c r="P202" t="s">
        <v>988</v>
      </c>
    </row>
    <row r="203" spans="1:16" x14ac:dyDescent="0.45">
      <c r="A203" t="s">
        <v>989</v>
      </c>
      <c r="B203">
        <v>55</v>
      </c>
      <c r="C203" t="s">
        <v>55</v>
      </c>
      <c r="D203" t="s">
        <v>33</v>
      </c>
      <c r="E203">
        <v>2609.02</v>
      </c>
      <c r="F203">
        <v>2471.91</v>
      </c>
      <c r="G203" t="s">
        <v>85</v>
      </c>
      <c r="H203" s="1">
        <v>45018</v>
      </c>
      <c r="I203" s="1">
        <v>45506</v>
      </c>
      <c r="J203" t="s">
        <v>990</v>
      </c>
      <c r="K203" t="s">
        <v>50</v>
      </c>
      <c r="L203" t="s">
        <v>22</v>
      </c>
      <c r="M203">
        <v>0.55000000000000004</v>
      </c>
      <c r="N203" t="s">
        <v>991</v>
      </c>
      <c r="O203">
        <v>323925060</v>
      </c>
      <c r="P203" t="s">
        <v>992</v>
      </c>
    </row>
    <row r="204" spans="1:16" x14ac:dyDescent="0.45">
      <c r="A204" t="s">
        <v>993</v>
      </c>
      <c r="B204">
        <v>72</v>
      </c>
      <c r="C204" t="s">
        <v>40</v>
      </c>
      <c r="D204" t="s">
        <v>33</v>
      </c>
      <c r="E204">
        <v>3183.31</v>
      </c>
      <c r="F204">
        <v>4036.44</v>
      </c>
      <c r="G204" t="s">
        <v>19</v>
      </c>
      <c r="H204" s="1">
        <v>45369</v>
      </c>
      <c r="I204" s="1">
        <v>45863</v>
      </c>
      <c r="J204" t="s">
        <v>994</v>
      </c>
      <c r="K204" t="s">
        <v>35</v>
      </c>
      <c r="L204" t="s">
        <v>22</v>
      </c>
      <c r="M204">
        <v>0.05</v>
      </c>
      <c r="N204" t="s">
        <v>995</v>
      </c>
      <c r="O204">
        <v>61379224990</v>
      </c>
      <c r="P204" t="s">
        <v>996</v>
      </c>
    </row>
    <row r="205" spans="1:16" x14ac:dyDescent="0.45">
      <c r="A205" t="s">
        <v>997</v>
      </c>
      <c r="B205">
        <v>48</v>
      </c>
      <c r="C205" t="s">
        <v>26</v>
      </c>
      <c r="D205" t="s">
        <v>67</v>
      </c>
      <c r="E205">
        <v>2738.65</v>
      </c>
      <c r="F205">
        <v>19233.72</v>
      </c>
      <c r="G205" t="s">
        <v>19</v>
      </c>
      <c r="H205" s="1">
        <v>45463</v>
      </c>
      <c r="I205" s="1">
        <v>45845</v>
      </c>
      <c r="J205" t="s">
        <v>998</v>
      </c>
      <c r="K205" t="s">
        <v>21</v>
      </c>
      <c r="L205" t="s">
        <v>22</v>
      </c>
      <c r="M205">
        <v>0.66</v>
      </c>
      <c r="N205" t="s">
        <v>999</v>
      </c>
      <c r="O205">
        <v>833743924</v>
      </c>
      <c r="P205" t="s">
        <v>1000</v>
      </c>
    </row>
    <row r="206" spans="1:16" x14ac:dyDescent="0.45">
      <c r="A206" t="s">
        <v>1001</v>
      </c>
      <c r="B206">
        <v>70</v>
      </c>
      <c r="C206" t="s">
        <v>55</v>
      </c>
      <c r="D206" t="s">
        <v>67</v>
      </c>
      <c r="E206">
        <v>4448.0200000000004</v>
      </c>
      <c r="F206">
        <v>10851.54</v>
      </c>
      <c r="G206" t="s">
        <v>19</v>
      </c>
      <c r="H206" s="1">
        <v>45355</v>
      </c>
      <c r="I206" s="1">
        <v>45500</v>
      </c>
      <c r="J206" t="s">
        <v>1002</v>
      </c>
      <c r="K206" t="s">
        <v>21</v>
      </c>
      <c r="L206" t="s">
        <v>36</v>
      </c>
      <c r="M206">
        <v>0.32</v>
      </c>
      <c r="N206" t="s">
        <v>1003</v>
      </c>
      <c r="O206" t="s">
        <v>1004</v>
      </c>
      <c r="P206" t="s">
        <v>1005</v>
      </c>
    </row>
    <row r="207" spans="1:16" x14ac:dyDescent="0.45">
      <c r="A207" t="s">
        <v>1006</v>
      </c>
      <c r="B207">
        <v>52</v>
      </c>
      <c r="C207" t="s">
        <v>66</v>
      </c>
      <c r="D207" t="s">
        <v>67</v>
      </c>
      <c r="E207">
        <v>2919.55</v>
      </c>
      <c r="F207">
        <v>8132.16</v>
      </c>
      <c r="G207" t="s">
        <v>85</v>
      </c>
      <c r="H207" s="1">
        <v>45017</v>
      </c>
      <c r="I207" s="1">
        <v>45161</v>
      </c>
      <c r="J207" t="s">
        <v>1007</v>
      </c>
      <c r="K207" t="s">
        <v>28</v>
      </c>
      <c r="L207" t="s">
        <v>22</v>
      </c>
      <c r="M207">
        <v>0.41</v>
      </c>
      <c r="N207" t="s">
        <v>1008</v>
      </c>
      <c r="O207" t="s">
        <v>1009</v>
      </c>
      <c r="P207" t="s">
        <v>1010</v>
      </c>
    </row>
    <row r="208" spans="1:16" x14ac:dyDescent="0.45">
      <c r="A208" t="s">
        <v>1011</v>
      </c>
      <c r="B208">
        <v>36</v>
      </c>
      <c r="C208" t="s">
        <v>32</v>
      </c>
      <c r="D208" t="s">
        <v>18</v>
      </c>
      <c r="E208">
        <v>1989.11</v>
      </c>
      <c r="F208">
        <v>9567.34</v>
      </c>
      <c r="G208" t="s">
        <v>19</v>
      </c>
      <c r="H208" s="1">
        <v>45369</v>
      </c>
      <c r="I208" s="1">
        <v>45722</v>
      </c>
      <c r="J208" t="s">
        <v>1012</v>
      </c>
      <c r="K208" t="s">
        <v>50</v>
      </c>
      <c r="L208" t="s">
        <v>36</v>
      </c>
      <c r="M208">
        <v>0.03</v>
      </c>
      <c r="N208" t="s">
        <v>1013</v>
      </c>
      <c r="O208" t="s">
        <v>1014</v>
      </c>
      <c r="P208" t="s">
        <v>1015</v>
      </c>
    </row>
    <row r="209" spans="1:16" x14ac:dyDescent="0.45">
      <c r="A209" t="s">
        <v>1016</v>
      </c>
      <c r="B209">
        <v>32</v>
      </c>
      <c r="C209" t="s">
        <v>40</v>
      </c>
      <c r="D209" t="s">
        <v>33</v>
      </c>
      <c r="E209">
        <v>3565.62</v>
      </c>
      <c r="F209">
        <v>11893.44</v>
      </c>
      <c r="G209" t="s">
        <v>19</v>
      </c>
      <c r="H209" s="1">
        <v>44933</v>
      </c>
      <c r="I209" s="1">
        <v>45732</v>
      </c>
      <c r="J209" t="s">
        <v>1017</v>
      </c>
      <c r="K209" t="s">
        <v>28</v>
      </c>
      <c r="L209" t="s">
        <v>36</v>
      </c>
      <c r="M209">
        <v>0.05</v>
      </c>
      <c r="N209" t="s">
        <v>1018</v>
      </c>
      <c r="O209">
        <v>7868.4142000000002</v>
      </c>
      <c r="P209" t="s">
        <v>1019</v>
      </c>
    </row>
    <row r="210" spans="1:16" x14ac:dyDescent="0.45">
      <c r="A210" t="s">
        <v>1020</v>
      </c>
      <c r="B210">
        <v>68</v>
      </c>
      <c r="C210" t="s">
        <v>55</v>
      </c>
      <c r="D210" t="s">
        <v>67</v>
      </c>
      <c r="E210">
        <v>1859.29</v>
      </c>
      <c r="F210">
        <v>15.94</v>
      </c>
      <c r="G210" t="s">
        <v>19</v>
      </c>
      <c r="H210" s="1">
        <v>44950</v>
      </c>
      <c r="I210" s="1">
        <v>45336</v>
      </c>
      <c r="J210" t="s">
        <v>1021</v>
      </c>
      <c r="K210" t="s">
        <v>21</v>
      </c>
      <c r="L210" t="s">
        <v>43</v>
      </c>
      <c r="M210">
        <v>0.61</v>
      </c>
      <c r="N210" t="s">
        <v>1022</v>
      </c>
      <c r="O210" t="s">
        <v>1023</v>
      </c>
      <c r="P210" t="s">
        <v>1024</v>
      </c>
    </row>
    <row r="211" spans="1:16" x14ac:dyDescent="0.45">
      <c r="A211" t="s">
        <v>1025</v>
      </c>
      <c r="B211">
        <v>22</v>
      </c>
      <c r="C211" t="s">
        <v>83</v>
      </c>
      <c r="D211" t="s">
        <v>67</v>
      </c>
      <c r="E211">
        <v>1200.23</v>
      </c>
      <c r="F211">
        <v>4907.0600000000004</v>
      </c>
      <c r="G211" t="s">
        <v>104</v>
      </c>
      <c r="H211" s="1">
        <v>44966</v>
      </c>
      <c r="I211" s="1">
        <v>45162</v>
      </c>
      <c r="J211" t="s">
        <v>1026</v>
      </c>
      <c r="K211" t="s">
        <v>21</v>
      </c>
      <c r="L211" t="s">
        <v>43</v>
      </c>
      <c r="M211">
        <v>0.25</v>
      </c>
      <c r="N211" t="s">
        <v>1027</v>
      </c>
      <c r="O211" t="s">
        <v>1028</v>
      </c>
      <c r="P211" t="s">
        <v>1029</v>
      </c>
    </row>
    <row r="212" spans="1:16" x14ac:dyDescent="0.45">
      <c r="A212" t="s">
        <v>1030</v>
      </c>
      <c r="B212">
        <v>19</v>
      </c>
      <c r="C212" t="s">
        <v>32</v>
      </c>
      <c r="D212" t="s">
        <v>18</v>
      </c>
      <c r="E212">
        <v>2299.89</v>
      </c>
      <c r="F212">
        <v>1217.75</v>
      </c>
      <c r="G212" t="s">
        <v>85</v>
      </c>
      <c r="H212" s="1">
        <v>45174</v>
      </c>
      <c r="I212" s="1">
        <v>45684</v>
      </c>
      <c r="J212" t="s">
        <v>1031</v>
      </c>
      <c r="K212" t="s">
        <v>21</v>
      </c>
      <c r="L212" t="s">
        <v>43</v>
      </c>
      <c r="M212">
        <v>0.48</v>
      </c>
      <c r="N212" t="s">
        <v>1032</v>
      </c>
      <c r="O212" t="s">
        <v>1033</v>
      </c>
      <c r="P212" t="s">
        <v>1034</v>
      </c>
    </row>
    <row r="213" spans="1:16" x14ac:dyDescent="0.45">
      <c r="A213" t="s">
        <v>1035</v>
      </c>
      <c r="B213">
        <v>45</v>
      </c>
      <c r="C213" t="s">
        <v>66</v>
      </c>
      <c r="D213" t="s">
        <v>41</v>
      </c>
      <c r="E213">
        <v>1843.64</v>
      </c>
      <c r="F213">
        <v>13518.38</v>
      </c>
      <c r="G213" t="s">
        <v>104</v>
      </c>
      <c r="H213" s="1">
        <v>45428</v>
      </c>
      <c r="I213" s="1">
        <v>45594</v>
      </c>
      <c r="J213" t="s">
        <v>1036</v>
      </c>
      <c r="K213" t="s">
        <v>21</v>
      </c>
      <c r="L213" t="s">
        <v>36</v>
      </c>
      <c r="M213">
        <v>0.54</v>
      </c>
      <c r="N213" t="s">
        <v>1037</v>
      </c>
      <c r="O213">
        <v>44115708</v>
      </c>
      <c r="P213" t="s">
        <v>1038</v>
      </c>
    </row>
    <row r="214" spans="1:16" x14ac:dyDescent="0.45">
      <c r="A214" t="s">
        <v>1039</v>
      </c>
      <c r="B214">
        <v>73</v>
      </c>
      <c r="C214" t="s">
        <v>17</v>
      </c>
      <c r="D214" t="s">
        <v>41</v>
      </c>
      <c r="E214">
        <v>2409.38</v>
      </c>
      <c r="F214">
        <v>690.75</v>
      </c>
      <c r="G214" t="s">
        <v>19</v>
      </c>
      <c r="H214" s="1">
        <v>45090</v>
      </c>
      <c r="I214" s="1">
        <v>45474</v>
      </c>
      <c r="J214" t="s">
        <v>1040</v>
      </c>
      <c r="K214" t="s">
        <v>21</v>
      </c>
      <c r="L214" t="s">
        <v>22</v>
      </c>
      <c r="M214">
        <v>0.39</v>
      </c>
      <c r="N214" t="s">
        <v>1041</v>
      </c>
      <c r="O214">
        <v>4556.5319</v>
      </c>
      <c r="P214" t="s">
        <v>1042</v>
      </c>
    </row>
    <row r="215" spans="1:16" x14ac:dyDescent="0.45">
      <c r="A215" t="s">
        <v>1043</v>
      </c>
      <c r="B215">
        <v>74</v>
      </c>
      <c r="C215" t="s">
        <v>32</v>
      </c>
      <c r="D215" t="s">
        <v>67</v>
      </c>
      <c r="E215">
        <v>2236.06</v>
      </c>
      <c r="F215">
        <v>3689.54</v>
      </c>
      <c r="G215" t="s">
        <v>19</v>
      </c>
      <c r="H215" s="1">
        <v>44966</v>
      </c>
      <c r="I215" s="1">
        <v>45547</v>
      </c>
      <c r="J215" t="s">
        <v>1044</v>
      </c>
      <c r="K215" t="s">
        <v>50</v>
      </c>
      <c r="L215" t="s">
        <v>43</v>
      </c>
      <c r="M215">
        <v>0.54</v>
      </c>
      <c r="N215" t="s">
        <v>1045</v>
      </c>
      <c r="O215" t="s">
        <v>1046</v>
      </c>
      <c r="P215" t="s">
        <v>1047</v>
      </c>
    </row>
    <row r="216" spans="1:16" x14ac:dyDescent="0.45">
      <c r="A216" t="s">
        <v>1048</v>
      </c>
      <c r="B216">
        <v>63</v>
      </c>
      <c r="C216" t="s">
        <v>26</v>
      </c>
      <c r="D216" t="s">
        <v>67</v>
      </c>
      <c r="E216">
        <v>4526</v>
      </c>
      <c r="F216">
        <v>10110.58</v>
      </c>
      <c r="G216" t="s">
        <v>85</v>
      </c>
      <c r="H216" s="1">
        <v>44809</v>
      </c>
      <c r="I216" s="1">
        <v>45461</v>
      </c>
      <c r="J216" t="s">
        <v>1049</v>
      </c>
      <c r="K216" t="s">
        <v>28</v>
      </c>
      <c r="L216" t="s">
        <v>36</v>
      </c>
      <c r="M216">
        <v>0.42</v>
      </c>
      <c r="N216" t="s">
        <v>1050</v>
      </c>
      <c r="O216" t="s">
        <v>1051</v>
      </c>
      <c r="P216" t="s">
        <v>1052</v>
      </c>
    </row>
    <row r="217" spans="1:16" x14ac:dyDescent="0.45">
      <c r="A217" t="s">
        <v>1053</v>
      </c>
      <c r="B217">
        <v>34</v>
      </c>
      <c r="C217" t="s">
        <v>26</v>
      </c>
      <c r="D217" t="s">
        <v>18</v>
      </c>
      <c r="E217">
        <v>356.4</v>
      </c>
      <c r="F217">
        <v>1707.4</v>
      </c>
      <c r="G217" t="s">
        <v>85</v>
      </c>
      <c r="H217" s="1">
        <v>45479</v>
      </c>
      <c r="I217" s="1">
        <v>45504</v>
      </c>
      <c r="J217" t="s">
        <v>1054</v>
      </c>
      <c r="K217" t="s">
        <v>21</v>
      </c>
      <c r="L217" t="s">
        <v>36</v>
      </c>
      <c r="M217">
        <v>0.39</v>
      </c>
      <c r="N217" t="s">
        <v>1055</v>
      </c>
      <c r="O217" t="s">
        <v>1056</v>
      </c>
      <c r="P217" t="s">
        <v>1057</v>
      </c>
    </row>
    <row r="218" spans="1:16" x14ac:dyDescent="0.45">
      <c r="A218" t="s">
        <v>1058</v>
      </c>
      <c r="B218">
        <v>65</v>
      </c>
      <c r="C218" t="s">
        <v>48</v>
      </c>
      <c r="D218" t="s">
        <v>84</v>
      </c>
      <c r="E218">
        <v>2446.15</v>
      </c>
      <c r="F218">
        <v>4786.3900000000003</v>
      </c>
      <c r="G218" t="s">
        <v>19</v>
      </c>
      <c r="H218" s="1">
        <v>45416</v>
      </c>
      <c r="I218" s="1">
        <v>45776</v>
      </c>
      <c r="J218" t="s">
        <v>1059</v>
      </c>
      <c r="K218" t="s">
        <v>28</v>
      </c>
      <c r="L218" t="s">
        <v>43</v>
      </c>
      <c r="M218">
        <v>0.52</v>
      </c>
      <c r="N218" t="s">
        <v>1060</v>
      </c>
      <c r="O218" t="s">
        <v>1061</v>
      </c>
      <c r="P218" t="s">
        <v>1062</v>
      </c>
    </row>
    <row r="219" spans="1:16" x14ac:dyDescent="0.45">
      <c r="A219" t="s">
        <v>1063</v>
      </c>
      <c r="B219">
        <v>24</v>
      </c>
      <c r="C219" t="s">
        <v>40</v>
      </c>
      <c r="D219" t="s">
        <v>84</v>
      </c>
      <c r="E219">
        <v>949.66</v>
      </c>
      <c r="F219">
        <v>2159.96</v>
      </c>
      <c r="G219" t="s">
        <v>104</v>
      </c>
      <c r="H219" s="1">
        <v>45076</v>
      </c>
      <c r="I219" s="1">
        <v>45761</v>
      </c>
      <c r="J219" t="s">
        <v>1064</v>
      </c>
      <c r="K219" t="s">
        <v>35</v>
      </c>
      <c r="L219" t="s">
        <v>36</v>
      </c>
      <c r="M219">
        <v>0.63</v>
      </c>
      <c r="N219" t="s">
        <v>1065</v>
      </c>
      <c r="O219" t="s">
        <v>1066</v>
      </c>
      <c r="P219" t="s">
        <v>1067</v>
      </c>
    </row>
    <row r="220" spans="1:16" x14ac:dyDescent="0.45">
      <c r="A220" t="s">
        <v>1068</v>
      </c>
      <c r="B220">
        <v>24</v>
      </c>
      <c r="C220" t="s">
        <v>83</v>
      </c>
      <c r="D220" t="s">
        <v>18</v>
      </c>
      <c r="E220">
        <v>976.21</v>
      </c>
      <c r="F220">
        <v>5924.63</v>
      </c>
      <c r="G220" t="s">
        <v>85</v>
      </c>
      <c r="H220" s="1">
        <v>44982</v>
      </c>
      <c r="I220" s="1">
        <v>45313</v>
      </c>
      <c r="J220" t="s">
        <v>1069</v>
      </c>
      <c r="K220" t="s">
        <v>21</v>
      </c>
      <c r="L220" t="s">
        <v>36</v>
      </c>
      <c r="M220">
        <v>0.02</v>
      </c>
      <c r="N220" t="s">
        <v>1070</v>
      </c>
      <c r="O220" t="s">
        <v>1071</v>
      </c>
      <c r="P220" t="s">
        <v>1072</v>
      </c>
    </row>
    <row r="221" spans="1:16" x14ac:dyDescent="0.45">
      <c r="A221" t="s">
        <v>1073</v>
      </c>
      <c r="B221">
        <v>32</v>
      </c>
      <c r="C221" t="s">
        <v>48</v>
      </c>
      <c r="D221" t="s">
        <v>18</v>
      </c>
      <c r="E221">
        <v>476.61</v>
      </c>
      <c r="F221">
        <v>2005</v>
      </c>
      <c r="G221" t="s">
        <v>19</v>
      </c>
      <c r="H221" s="1">
        <v>45462</v>
      </c>
      <c r="I221" s="1">
        <v>45783</v>
      </c>
      <c r="J221" t="s">
        <v>1074</v>
      </c>
      <c r="K221" t="s">
        <v>50</v>
      </c>
      <c r="L221" t="s">
        <v>43</v>
      </c>
      <c r="M221">
        <v>0.41</v>
      </c>
      <c r="N221" t="s">
        <v>1075</v>
      </c>
      <c r="O221" t="s">
        <v>1076</v>
      </c>
      <c r="P221" t="s">
        <v>1077</v>
      </c>
    </row>
    <row r="222" spans="1:16" x14ac:dyDescent="0.45">
      <c r="A222" t="s">
        <v>1078</v>
      </c>
      <c r="B222">
        <v>67</v>
      </c>
      <c r="C222" t="s">
        <v>83</v>
      </c>
      <c r="D222" t="s">
        <v>18</v>
      </c>
      <c r="E222">
        <v>2542.19</v>
      </c>
      <c r="F222">
        <v>6512.85</v>
      </c>
      <c r="G222" t="s">
        <v>19</v>
      </c>
      <c r="H222" s="1">
        <v>44826</v>
      </c>
      <c r="I222" s="1">
        <v>45832</v>
      </c>
      <c r="J222" t="s">
        <v>1079</v>
      </c>
      <c r="K222" t="s">
        <v>21</v>
      </c>
      <c r="L222" t="s">
        <v>22</v>
      </c>
      <c r="M222">
        <v>0.17</v>
      </c>
      <c r="N222" t="s">
        <v>1080</v>
      </c>
      <c r="O222">
        <v>18147143</v>
      </c>
      <c r="P222" t="s">
        <v>1081</v>
      </c>
    </row>
    <row r="223" spans="1:16" x14ac:dyDescent="0.45">
      <c r="A223" t="s">
        <v>1082</v>
      </c>
      <c r="B223">
        <v>73</v>
      </c>
      <c r="C223" t="s">
        <v>48</v>
      </c>
      <c r="D223" t="s">
        <v>67</v>
      </c>
      <c r="E223">
        <v>884.73</v>
      </c>
      <c r="F223">
        <v>2664.54</v>
      </c>
      <c r="G223" t="s">
        <v>19</v>
      </c>
      <c r="H223" s="1">
        <v>45128</v>
      </c>
      <c r="I223" s="1">
        <v>45156</v>
      </c>
      <c r="J223" t="s">
        <v>1083</v>
      </c>
      <c r="K223" t="s">
        <v>35</v>
      </c>
      <c r="L223" t="s">
        <v>43</v>
      </c>
      <c r="M223">
        <v>0.82</v>
      </c>
      <c r="N223" t="s">
        <v>1084</v>
      </c>
      <c r="O223" t="s">
        <v>1085</v>
      </c>
      <c r="P223" t="s">
        <v>1086</v>
      </c>
    </row>
    <row r="224" spans="1:16" x14ac:dyDescent="0.45">
      <c r="A224" t="s">
        <v>1087</v>
      </c>
      <c r="B224">
        <v>46</v>
      </c>
      <c r="C224" t="s">
        <v>32</v>
      </c>
      <c r="D224" t="s">
        <v>84</v>
      </c>
      <c r="E224">
        <v>1726.34</v>
      </c>
      <c r="F224">
        <v>3487.06</v>
      </c>
      <c r="G224" t="s">
        <v>19</v>
      </c>
      <c r="H224" s="1">
        <v>45303</v>
      </c>
      <c r="I224" s="1">
        <v>45482</v>
      </c>
      <c r="J224" t="s">
        <v>1088</v>
      </c>
      <c r="K224" t="s">
        <v>21</v>
      </c>
      <c r="L224" t="s">
        <v>22</v>
      </c>
      <c r="M224">
        <v>0.02</v>
      </c>
      <c r="N224" t="s">
        <v>1089</v>
      </c>
      <c r="O224" t="s">
        <v>1090</v>
      </c>
      <c r="P224" t="s">
        <v>1091</v>
      </c>
    </row>
    <row r="225" spans="1:16" x14ac:dyDescent="0.45">
      <c r="A225" t="s">
        <v>1092</v>
      </c>
      <c r="B225">
        <v>39</v>
      </c>
      <c r="C225" t="s">
        <v>26</v>
      </c>
      <c r="D225" t="s">
        <v>18</v>
      </c>
      <c r="E225">
        <v>2900.95</v>
      </c>
      <c r="F225">
        <v>13129.49</v>
      </c>
      <c r="G225" t="s">
        <v>104</v>
      </c>
      <c r="H225" s="1">
        <v>45465</v>
      </c>
      <c r="I225" s="1">
        <v>45678</v>
      </c>
      <c r="J225" t="s">
        <v>1093</v>
      </c>
      <c r="K225" t="s">
        <v>21</v>
      </c>
      <c r="L225" t="s">
        <v>36</v>
      </c>
      <c r="M225">
        <v>0.99</v>
      </c>
      <c r="N225" t="s">
        <v>1094</v>
      </c>
      <c r="O225" t="s">
        <v>1095</v>
      </c>
      <c r="P225" t="s">
        <v>1096</v>
      </c>
    </row>
    <row r="226" spans="1:16" x14ac:dyDescent="0.45">
      <c r="A226" t="s">
        <v>1097</v>
      </c>
      <c r="B226">
        <v>42</v>
      </c>
      <c r="C226" t="s">
        <v>26</v>
      </c>
      <c r="D226" t="s">
        <v>41</v>
      </c>
      <c r="E226">
        <v>4244.12</v>
      </c>
      <c r="F226">
        <v>12897.97</v>
      </c>
      <c r="G226" t="s">
        <v>104</v>
      </c>
      <c r="H226" s="1">
        <v>44887</v>
      </c>
      <c r="I226" s="1">
        <v>44927</v>
      </c>
      <c r="J226" t="s">
        <v>1098</v>
      </c>
      <c r="K226" t="s">
        <v>28</v>
      </c>
      <c r="L226" t="s">
        <v>36</v>
      </c>
      <c r="M226">
        <v>0.77</v>
      </c>
      <c r="N226" t="s">
        <v>1099</v>
      </c>
      <c r="O226" t="s">
        <v>1100</v>
      </c>
      <c r="P226" t="s">
        <v>1101</v>
      </c>
    </row>
    <row r="227" spans="1:16" x14ac:dyDescent="0.45">
      <c r="A227" t="s">
        <v>1102</v>
      </c>
      <c r="B227">
        <v>52</v>
      </c>
      <c r="C227" t="s">
        <v>40</v>
      </c>
      <c r="D227" t="s">
        <v>18</v>
      </c>
      <c r="E227">
        <v>4678.6400000000003</v>
      </c>
      <c r="F227">
        <v>13599.54</v>
      </c>
      <c r="G227" t="s">
        <v>19</v>
      </c>
      <c r="H227" s="1">
        <v>45100</v>
      </c>
      <c r="I227" s="1">
        <v>45156</v>
      </c>
      <c r="J227" t="s">
        <v>1103</v>
      </c>
      <c r="K227" t="s">
        <v>35</v>
      </c>
      <c r="L227" t="s">
        <v>22</v>
      </c>
      <c r="M227">
        <v>0.71</v>
      </c>
      <c r="N227" t="s">
        <v>1104</v>
      </c>
      <c r="O227" t="s">
        <v>1105</v>
      </c>
      <c r="P227" t="s">
        <v>1106</v>
      </c>
    </row>
    <row r="228" spans="1:16" x14ac:dyDescent="0.45">
      <c r="A228" t="s">
        <v>1107</v>
      </c>
      <c r="B228">
        <v>26</v>
      </c>
      <c r="C228" t="s">
        <v>83</v>
      </c>
      <c r="D228" t="s">
        <v>84</v>
      </c>
      <c r="E228">
        <v>2241.4299999999998</v>
      </c>
      <c r="F228">
        <v>4301.62</v>
      </c>
      <c r="G228" t="s">
        <v>19</v>
      </c>
      <c r="H228" s="1">
        <v>45201</v>
      </c>
      <c r="I228" s="1">
        <v>45705</v>
      </c>
      <c r="J228" t="s">
        <v>1108</v>
      </c>
      <c r="K228" t="s">
        <v>35</v>
      </c>
      <c r="L228" t="s">
        <v>22</v>
      </c>
      <c r="M228">
        <v>0.05</v>
      </c>
      <c r="N228" t="s">
        <v>1109</v>
      </c>
      <c r="O228">
        <v>574.20339999999999</v>
      </c>
      <c r="P228" t="s">
        <v>1110</v>
      </c>
    </row>
    <row r="229" spans="1:16" x14ac:dyDescent="0.45">
      <c r="A229" t="s">
        <v>1111</v>
      </c>
      <c r="B229">
        <v>74</v>
      </c>
      <c r="C229" t="s">
        <v>48</v>
      </c>
      <c r="D229" t="s">
        <v>84</v>
      </c>
      <c r="E229">
        <v>823.1</v>
      </c>
      <c r="F229">
        <v>11937.38</v>
      </c>
      <c r="G229" t="s">
        <v>104</v>
      </c>
      <c r="H229" s="1">
        <v>45284</v>
      </c>
      <c r="I229" s="1">
        <v>45717</v>
      </c>
      <c r="J229" t="s">
        <v>1112</v>
      </c>
      <c r="K229" t="s">
        <v>28</v>
      </c>
      <c r="L229" t="s">
        <v>36</v>
      </c>
      <c r="M229">
        <v>0.88</v>
      </c>
      <c r="N229" t="s">
        <v>1113</v>
      </c>
      <c r="O229" t="s">
        <v>1114</v>
      </c>
      <c r="P229" t="s">
        <v>1115</v>
      </c>
    </row>
    <row r="230" spans="1:16" x14ac:dyDescent="0.45">
      <c r="A230" t="s">
        <v>1116</v>
      </c>
      <c r="B230">
        <v>44</v>
      </c>
      <c r="C230" t="s">
        <v>26</v>
      </c>
      <c r="D230" t="s">
        <v>33</v>
      </c>
      <c r="E230">
        <v>1619.26</v>
      </c>
      <c r="F230">
        <v>1605.04</v>
      </c>
      <c r="G230" t="s">
        <v>19</v>
      </c>
      <c r="H230" s="1">
        <v>44969</v>
      </c>
      <c r="I230" s="1">
        <v>45741</v>
      </c>
      <c r="J230" t="s">
        <v>1117</v>
      </c>
      <c r="K230" t="s">
        <v>21</v>
      </c>
      <c r="L230" t="s">
        <v>36</v>
      </c>
      <c r="M230">
        <v>0.47</v>
      </c>
      <c r="N230" t="s">
        <v>1118</v>
      </c>
      <c r="O230" t="s">
        <v>1119</v>
      </c>
      <c r="P230" t="s">
        <v>1120</v>
      </c>
    </row>
    <row r="231" spans="1:16" x14ac:dyDescent="0.45">
      <c r="A231" t="s">
        <v>1121</v>
      </c>
      <c r="B231">
        <v>51</v>
      </c>
      <c r="C231" t="s">
        <v>32</v>
      </c>
      <c r="D231" t="s">
        <v>18</v>
      </c>
      <c r="E231">
        <v>2694.28</v>
      </c>
      <c r="F231">
        <v>11527.91</v>
      </c>
      <c r="G231" t="s">
        <v>104</v>
      </c>
      <c r="H231" s="1">
        <v>45367</v>
      </c>
      <c r="I231" s="1">
        <v>45868</v>
      </c>
      <c r="J231" t="s">
        <v>1122</v>
      </c>
      <c r="K231" t="s">
        <v>35</v>
      </c>
      <c r="L231" t="s">
        <v>43</v>
      </c>
      <c r="M231">
        <v>0.75</v>
      </c>
      <c r="N231" t="s">
        <v>1123</v>
      </c>
      <c r="O231">
        <v>710633890</v>
      </c>
      <c r="P231" t="s">
        <v>1124</v>
      </c>
    </row>
    <row r="232" spans="1:16" x14ac:dyDescent="0.45">
      <c r="A232" t="s">
        <v>1125</v>
      </c>
      <c r="B232">
        <v>66</v>
      </c>
      <c r="C232" t="s">
        <v>17</v>
      </c>
      <c r="D232" t="s">
        <v>41</v>
      </c>
      <c r="E232">
        <v>4107.37</v>
      </c>
      <c r="F232">
        <v>8695.2099999999991</v>
      </c>
      <c r="G232" t="s">
        <v>104</v>
      </c>
      <c r="H232" s="1">
        <v>45412</v>
      </c>
      <c r="I232" s="1">
        <v>45518</v>
      </c>
      <c r="J232" t="s">
        <v>1126</v>
      </c>
      <c r="K232" t="s">
        <v>50</v>
      </c>
      <c r="L232" t="s">
        <v>36</v>
      </c>
      <c r="M232">
        <v>0.24</v>
      </c>
      <c r="N232" t="s">
        <v>1127</v>
      </c>
      <c r="O232" t="s">
        <v>1128</v>
      </c>
      <c r="P232" t="s">
        <v>1129</v>
      </c>
    </row>
    <row r="233" spans="1:16" x14ac:dyDescent="0.45">
      <c r="A233" t="s">
        <v>1130</v>
      </c>
      <c r="B233">
        <v>65</v>
      </c>
      <c r="C233" t="s">
        <v>26</v>
      </c>
      <c r="D233" t="s">
        <v>67</v>
      </c>
      <c r="E233">
        <v>3792.09</v>
      </c>
      <c r="F233">
        <v>13795.28</v>
      </c>
      <c r="G233" t="s">
        <v>104</v>
      </c>
      <c r="H233" s="1">
        <v>45330</v>
      </c>
      <c r="I233" s="1">
        <v>45511</v>
      </c>
      <c r="J233" t="s">
        <v>1131</v>
      </c>
      <c r="K233" t="s">
        <v>28</v>
      </c>
      <c r="L233" t="s">
        <v>22</v>
      </c>
      <c r="M233">
        <v>0.79</v>
      </c>
      <c r="N233" t="s">
        <v>1132</v>
      </c>
      <c r="O233">
        <f>61-475-857-974</f>
        <v>-2245</v>
      </c>
      <c r="P233" t="s">
        <v>1133</v>
      </c>
    </row>
    <row r="234" spans="1:16" x14ac:dyDescent="0.45">
      <c r="A234" t="s">
        <v>1134</v>
      </c>
      <c r="B234">
        <v>75</v>
      </c>
      <c r="C234" t="s">
        <v>26</v>
      </c>
      <c r="D234" t="s">
        <v>18</v>
      </c>
      <c r="E234">
        <v>1059.5899999999999</v>
      </c>
      <c r="F234">
        <v>14200.13</v>
      </c>
      <c r="G234" t="s">
        <v>19</v>
      </c>
      <c r="H234" s="1">
        <v>44798</v>
      </c>
      <c r="I234" s="1">
        <v>45717</v>
      </c>
      <c r="J234" t="s">
        <v>1135</v>
      </c>
      <c r="K234" t="s">
        <v>50</v>
      </c>
      <c r="L234" t="s">
        <v>22</v>
      </c>
      <c r="M234">
        <v>0.23</v>
      </c>
      <c r="N234" t="s">
        <v>1136</v>
      </c>
      <c r="O234">
        <v>61888380086</v>
      </c>
      <c r="P234" t="s">
        <v>1137</v>
      </c>
    </row>
    <row r="235" spans="1:16" x14ac:dyDescent="0.45">
      <c r="A235" t="s">
        <v>1138</v>
      </c>
      <c r="B235">
        <v>40</v>
      </c>
      <c r="C235" t="s">
        <v>26</v>
      </c>
      <c r="D235" t="s">
        <v>41</v>
      </c>
      <c r="E235">
        <v>4029.91</v>
      </c>
      <c r="F235">
        <v>6585.63</v>
      </c>
      <c r="G235" t="s">
        <v>104</v>
      </c>
      <c r="H235" s="1">
        <v>45179</v>
      </c>
      <c r="I235" s="1">
        <v>45237</v>
      </c>
      <c r="J235" t="s">
        <v>1139</v>
      </c>
      <c r="K235" t="s">
        <v>50</v>
      </c>
      <c r="L235" t="s">
        <v>22</v>
      </c>
      <c r="M235">
        <v>0.84</v>
      </c>
      <c r="N235" t="s">
        <v>1140</v>
      </c>
      <c r="O235" t="s">
        <v>1141</v>
      </c>
      <c r="P235" t="s">
        <v>1142</v>
      </c>
    </row>
    <row r="236" spans="1:16" x14ac:dyDescent="0.45">
      <c r="A236" t="s">
        <v>1143</v>
      </c>
      <c r="B236">
        <v>27</v>
      </c>
      <c r="C236" t="s">
        <v>32</v>
      </c>
      <c r="D236" t="s">
        <v>18</v>
      </c>
      <c r="E236">
        <v>312.32</v>
      </c>
      <c r="F236">
        <v>236.38</v>
      </c>
      <c r="G236" t="s">
        <v>19</v>
      </c>
      <c r="H236" s="1">
        <v>44903</v>
      </c>
      <c r="I236" s="1">
        <v>45063</v>
      </c>
      <c r="J236" t="s">
        <v>1144</v>
      </c>
      <c r="K236" t="s">
        <v>28</v>
      </c>
      <c r="L236" t="s">
        <v>43</v>
      </c>
      <c r="M236">
        <v>0.53</v>
      </c>
      <c r="N236" t="s">
        <v>1145</v>
      </c>
      <c r="O236" t="s">
        <v>1146</v>
      </c>
      <c r="P236" t="s">
        <v>1147</v>
      </c>
    </row>
    <row r="237" spans="1:16" x14ac:dyDescent="0.45">
      <c r="A237" t="s">
        <v>1148</v>
      </c>
      <c r="B237">
        <v>36</v>
      </c>
      <c r="C237" t="s">
        <v>32</v>
      </c>
      <c r="D237" t="s">
        <v>33</v>
      </c>
      <c r="E237">
        <v>3497.54</v>
      </c>
      <c r="F237">
        <v>10080.23</v>
      </c>
      <c r="G237" t="s">
        <v>19</v>
      </c>
      <c r="H237" s="1">
        <v>44798</v>
      </c>
      <c r="I237" s="1">
        <v>44960</v>
      </c>
      <c r="J237" t="s">
        <v>1149</v>
      </c>
      <c r="K237" t="s">
        <v>50</v>
      </c>
      <c r="L237" t="s">
        <v>43</v>
      </c>
      <c r="M237">
        <v>0.09</v>
      </c>
      <c r="N237" t="s">
        <v>1150</v>
      </c>
      <c r="O237" t="s">
        <v>1151</v>
      </c>
      <c r="P237" t="s">
        <v>1152</v>
      </c>
    </row>
    <row r="238" spans="1:16" x14ac:dyDescent="0.45">
      <c r="A238" t="s">
        <v>1153</v>
      </c>
      <c r="B238">
        <v>24</v>
      </c>
      <c r="C238" t="s">
        <v>66</v>
      </c>
      <c r="D238" t="s">
        <v>41</v>
      </c>
      <c r="E238">
        <v>3012.21</v>
      </c>
      <c r="F238">
        <v>19596.86</v>
      </c>
      <c r="G238" t="s">
        <v>85</v>
      </c>
      <c r="H238" s="1">
        <v>45399</v>
      </c>
      <c r="I238" s="1">
        <v>45537</v>
      </c>
      <c r="J238" t="s">
        <v>1154</v>
      </c>
      <c r="K238" t="s">
        <v>50</v>
      </c>
      <c r="L238" t="s">
        <v>36</v>
      </c>
      <c r="M238">
        <v>0.91</v>
      </c>
      <c r="N238" t="s">
        <v>1155</v>
      </c>
      <c r="O238" t="s">
        <v>1156</v>
      </c>
      <c r="P238" t="s">
        <v>1157</v>
      </c>
    </row>
    <row r="239" spans="1:16" x14ac:dyDescent="0.45">
      <c r="A239" t="s">
        <v>1158</v>
      </c>
      <c r="B239">
        <v>46</v>
      </c>
      <c r="C239" t="s">
        <v>40</v>
      </c>
      <c r="D239" t="s">
        <v>18</v>
      </c>
      <c r="E239">
        <v>3400.38</v>
      </c>
      <c r="F239">
        <v>11850.87</v>
      </c>
      <c r="G239" t="s">
        <v>19</v>
      </c>
      <c r="H239" s="1">
        <v>45252</v>
      </c>
      <c r="I239" s="1">
        <v>45453</v>
      </c>
      <c r="J239" t="s">
        <v>1159</v>
      </c>
      <c r="K239" t="s">
        <v>28</v>
      </c>
      <c r="L239" t="s">
        <v>36</v>
      </c>
      <c r="M239">
        <v>0.51</v>
      </c>
      <c r="N239" t="s">
        <v>1160</v>
      </c>
      <c r="O239" t="s">
        <v>1161</v>
      </c>
      <c r="P239" t="s">
        <v>1162</v>
      </c>
    </row>
    <row r="240" spans="1:16" x14ac:dyDescent="0.45">
      <c r="A240" t="s">
        <v>1163</v>
      </c>
      <c r="B240">
        <v>62</v>
      </c>
      <c r="C240" t="s">
        <v>66</v>
      </c>
      <c r="D240" t="s">
        <v>41</v>
      </c>
      <c r="E240">
        <v>1607.97</v>
      </c>
      <c r="F240">
        <v>4166.57</v>
      </c>
      <c r="G240" t="s">
        <v>19</v>
      </c>
      <c r="H240" s="1">
        <v>45368</v>
      </c>
      <c r="I240" s="1">
        <v>45654</v>
      </c>
      <c r="J240" t="s">
        <v>1164</v>
      </c>
      <c r="K240" t="s">
        <v>50</v>
      </c>
      <c r="L240" t="s">
        <v>22</v>
      </c>
      <c r="M240">
        <v>0.53</v>
      </c>
      <c r="N240" t="s">
        <v>1165</v>
      </c>
      <c r="O240">
        <v>205206944</v>
      </c>
      <c r="P240" t="s">
        <v>1166</v>
      </c>
    </row>
    <row r="241" spans="1:16" x14ac:dyDescent="0.45">
      <c r="A241" t="s">
        <v>1167</v>
      </c>
      <c r="B241">
        <v>18</v>
      </c>
      <c r="C241" t="s">
        <v>26</v>
      </c>
      <c r="D241" t="s">
        <v>41</v>
      </c>
      <c r="E241">
        <v>1797.3</v>
      </c>
      <c r="F241">
        <v>9974.76</v>
      </c>
      <c r="G241" t="s">
        <v>104</v>
      </c>
      <c r="H241" s="1">
        <v>45441</v>
      </c>
      <c r="I241" s="1">
        <v>45596</v>
      </c>
      <c r="J241" t="s">
        <v>1168</v>
      </c>
      <c r="K241" t="s">
        <v>28</v>
      </c>
      <c r="L241" t="s">
        <v>22</v>
      </c>
      <c r="M241">
        <v>0.01</v>
      </c>
      <c r="N241" t="s">
        <v>1169</v>
      </c>
      <c r="O241" t="s">
        <v>1170</v>
      </c>
      <c r="P241" t="s">
        <v>1171</v>
      </c>
    </row>
    <row r="242" spans="1:16" x14ac:dyDescent="0.45">
      <c r="A242" t="s">
        <v>1172</v>
      </c>
      <c r="B242">
        <v>68</v>
      </c>
      <c r="C242" t="s">
        <v>48</v>
      </c>
      <c r="D242" t="s">
        <v>41</v>
      </c>
      <c r="E242">
        <v>2136.5700000000002</v>
      </c>
      <c r="F242">
        <v>19704.2</v>
      </c>
      <c r="G242" t="s">
        <v>85</v>
      </c>
      <c r="H242" s="1">
        <v>45015</v>
      </c>
      <c r="I242" s="1">
        <v>45171</v>
      </c>
      <c r="J242" t="s">
        <v>1173</v>
      </c>
      <c r="K242" t="s">
        <v>28</v>
      </c>
      <c r="L242" t="s">
        <v>22</v>
      </c>
      <c r="M242">
        <v>0.1</v>
      </c>
      <c r="N242" t="s">
        <v>1174</v>
      </c>
      <c r="O242" t="s">
        <v>1175</v>
      </c>
      <c r="P242" t="s">
        <v>1176</v>
      </c>
    </row>
    <row r="243" spans="1:16" x14ac:dyDescent="0.45">
      <c r="A243" t="s">
        <v>1177</v>
      </c>
      <c r="B243">
        <v>47</v>
      </c>
      <c r="C243" t="s">
        <v>55</v>
      </c>
      <c r="D243" t="s">
        <v>18</v>
      </c>
      <c r="E243">
        <v>3823.93</v>
      </c>
      <c r="F243">
        <v>2613.56</v>
      </c>
      <c r="G243" t="s">
        <v>19</v>
      </c>
      <c r="H243" s="1">
        <v>45083</v>
      </c>
      <c r="I243" s="1">
        <v>45160</v>
      </c>
      <c r="J243" t="s">
        <v>1178</v>
      </c>
      <c r="K243" t="s">
        <v>35</v>
      </c>
      <c r="L243" t="s">
        <v>22</v>
      </c>
      <c r="M243">
        <v>0.88</v>
      </c>
      <c r="N243" t="s">
        <v>1179</v>
      </c>
      <c r="O243" t="s">
        <v>1180</v>
      </c>
      <c r="P243" t="s">
        <v>1181</v>
      </c>
    </row>
    <row r="244" spans="1:16" x14ac:dyDescent="0.45">
      <c r="A244" t="s">
        <v>1182</v>
      </c>
      <c r="B244">
        <v>21</v>
      </c>
      <c r="C244" t="s">
        <v>83</v>
      </c>
      <c r="D244" t="s">
        <v>33</v>
      </c>
      <c r="E244">
        <v>832.94</v>
      </c>
      <c r="F244">
        <v>3860.71</v>
      </c>
      <c r="G244" t="s">
        <v>19</v>
      </c>
      <c r="H244" s="1">
        <v>44848</v>
      </c>
      <c r="I244" s="1">
        <v>45000</v>
      </c>
      <c r="J244" t="s">
        <v>1183</v>
      </c>
      <c r="K244" t="s">
        <v>21</v>
      </c>
      <c r="L244" t="s">
        <v>36</v>
      </c>
      <c r="M244">
        <v>0.36</v>
      </c>
      <c r="N244" t="s">
        <v>1184</v>
      </c>
      <c r="O244" t="s">
        <v>1185</v>
      </c>
      <c r="P244" t="s">
        <v>1186</v>
      </c>
    </row>
    <row r="245" spans="1:16" x14ac:dyDescent="0.45">
      <c r="A245" t="s">
        <v>1187</v>
      </c>
      <c r="B245">
        <v>32</v>
      </c>
      <c r="C245" t="s">
        <v>32</v>
      </c>
      <c r="D245" t="s">
        <v>18</v>
      </c>
      <c r="E245">
        <v>3957.92</v>
      </c>
      <c r="F245">
        <v>4710.5600000000004</v>
      </c>
      <c r="G245" t="s">
        <v>19</v>
      </c>
      <c r="H245" s="1">
        <v>45329</v>
      </c>
      <c r="I245" s="1">
        <v>45828</v>
      </c>
      <c r="J245" t="s">
        <v>1188</v>
      </c>
      <c r="K245" t="s">
        <v>50</v>
      </c>
      <c r="L245" t="s">
        <v>43</v>
      </c>
      <c r="M245">
        <v>0.05</v>
      </c>
      <c r="N245" t="s">
        <v>1189</v>
      </c>
      <c r="O245">
        <v>19489376</v>
      </c>
      <c r="P245" t="s">
        <v>1190</v>
      </c>
    </row>
    <row r="246" spans="1:16" x14ac:dyDescent="0.45">
      <c r="A246" t="s">
        <v>1191</v>
      </c>
      <c r="B246">
        <v>75</v>
      </c>
      <c r="C246" t="s">
        <v>55</v>
      </c>
      <c r="D246" t="s">
        <v>18</v>
      </c>
      <c r="E246">
        <v>387.81</v>
      </c>
      <c r="F246">
        <v>6494.53</v>
      </c>
      <c r="G246" t="s">
        <v>19</v>
      </c>
      <c r="H246" s="1">
        <v>45211</v>
      </c>
      <c r="I246" s="1">
        <v>45301</v>
      </c>
      <c r="J246" t="s">
        <v>1192</v>
      </c>
      <c r="K246" t="s">
        <v>21</v>
      </c>
      <c r="L246" t="s">
        <v>22</v>
      </c>
      <c r="M246">
        <v>0.83</v>
      </c>
      <c r="N246" t="s">
        <v>1193</v>
      </c>
      <c r="O246" t="s">
        <v>1194</v>
      </c>
      <c r="P246" t="s">
        <v>1195</v>
      </c>
    </row>
    <row r="247" spans="1:16" x14ac:dyDescent="0.45">
      <c r="A247" t="s">
        <v>1196</v>
      </c>
      <c r="B247">
        <v>32</v>
      </c>
      <c r="C247" t="s">
        <v>66</v>
      </c>
      <c r="D247" t="s">
        <v>41</v>
      </c>
      <c r="E247">
        <v>4630.2299999999996</v>
      </c>
      <c r="F247">
        <v>1973.32</v>
      </c>
      <c r="G247" t="s">
        <v>85</v>
      </c>
      <c r="H247" s="1">
        <v>44797</v>
      </c>
      <c r="I247" s="1">
        <v>45023</v>
      </c>
      <c r="J247" t="s">
        <v>1197</v>
      </c>
      <c r="K247" t="s">
        <v>35</v>
      </c>
      <c r="L247" t="s">
        <v>22</v>
      </c>
      <c r="M247">
        <v>0.82</v>
      </c>
      <c r="N247" t="s">
        <v>1198</v>
      </c>
      <c r="O247" t="s">
        <v>1199</v>
      </c>
      <c r="P247" t="s">
        <v>1200</v>
      </c>
    </row>
    <row r="248" spans="1:16" x14ac:dyDescent="0.45">
      <c r="A248" t="s">
        <v>1201</v>
      </c>
      <c r="B248">
        <v>28</v>
      </c>
      <c r="C248" t="s">
        <v>83</v>
      </c>
      <c r="D248" t="s">
        <v>84</v>
      </c>
      <c r="E248">
        <v>790.05</v>
      </c>
      <c r="F248">
        <v>1496.58</v>
      </c>
      <c r="G248" t="s">
        <v>19</v>
      </c>
      <c r="H248" s="1">
        <v>45286</v>
      </c>
      <c r="I248" s="1">
        <v>45617</v>
      </c>
      <c r="J248" t="s">
        <v>1202</v>
      </c>
      <c r="K248" t="s">
        <v>21</v>
      </c>
      <c r="L248" t="s">
        <v>43</v>
      </c>
      <c r="M248">
        <v>0.37</v>
      </c>
      <c r="N248" t="s">
        <v>1203</v>
      </c>
      <c r="O248">
        <f>61-2-2604-1232</f>
        <v>-3777</v>
      </c>
      <c r="P248" t="s">
        <v>1204</v>
      </c>
    </row>
    <row r="249" spans="1:16" x14ac:dyDescent="0.45">
      <c r="A249" t="s">
        <v>1205</v>
      </c>
      <c r="B249">
        <v>23</v>
      </c>
      <c r="C249" t="s">
        <v>66</v>
      </c>
      <c r="D249" t="s">
        <v>67</v>
      </c>
      <c r="E249">
        <v>874.24</v>
      </c>
      <c r="F249">
        <v>10428.030000000001</v>
      </c>
      <c r="G249" t="s">
        <v>19</v>
      </c>
      <c r="H249" s="1">
        <v>45149</v>
      </c>
      <c r="I249" s="1">
        <v>45445</v>
      </c>
      <c r="J249" t="s">
        <v>1206</v>
      </c>
      <c r="K249" t="s">
        <v>28</v>
      </c>
      <c r="L249" t="s">
        <v>22</v>
      </c>
      <c r="M249">
        <v>0.5</v>
      </c>
      <c r="N249" t="s">
        <v>1207</v>
      </c>
      <c r="O249" t="s">
        <v>1208</v>
      </c>
      <c r="P249" t="s">
        <v>1209</v>
      </c>
    </row>
    <row r="250" spans="1:16" x14ac:dyDescent="0.45">
      <c r="A250" t="s">
        <v>1210</v>
      </c>
      <c r="B250">
        <v>34</v>
      </c>
      <c r="C250" t="s">
        <v>26</v>
      </c>
      <c r="D250" t="s">
        <v>84</v>
      </c>
      <c r="E250">
        <v>3826.79</v>
      </c>
      <c r="F250">
        <v>15727.9</v>
      </c>
      <c r="G250" t="s">
        <v>19</v>
      </c>
      <c r="H250" s="1">
        <v>45001</v>
      </c>
      <c r="I250" s="1">
        <v>45385</v>
      </c>
      <c r="J250" t="s">
        <v>1211</v>
      </c>
      <c r="K250" t="s">
        <v>28</v>
      </c>
      <c r="L250" t="s">
        <v>36</v>
      </c>
      <c r="M250">
        <v>0.71</v>
      </c>
      <c r="N250" t="s">
        <v>1212</v>
      </c>
      <c r="O250" t="s">
        <v>1213</v>
      </c>
      <c r="P250" t="s">
        <v>1214</v>
      </c>
    </row>
    <row r="251" spans="1:16" x14ac:dyDescent="0.45">
      <c r="A251" t="s">
        <v>1215</v>
      </c>
      <c r="B251">
        <v>60</v>
      </c>
      <c r="C251" t="s">
        <v>66</v>
      </c>
      <c r="D251" t="s">
        <v>41</v>
      </c>
      <c r="E251">
        <v>3438.23</v>
      </c>
      <c r="F251">
        <v>5954.29</v>
      </c>
      <c r="G251" t="s">
        <v>19</v>
      </c>
      <c r="H251" s="1">
        <v>44987</v>
      </c>
      <c r="I251" s="1">
        <v>45044</v>
      </c>
      <c r="J251" t="s">
        <v>1216</v>
      </c>
      <c r="K251" t="s">
        <v>35</v>
      </c>
      <c r="L251" t="s">
        <v>36</v>
      </c>
      <c r="M251">
        <v>0.11</v>
      </c>
      <c r="N251" t="s">
        <v>1217</v>
      </c>
      <c r="O251" t="s">
        <v>1218</v>
      </c>
      <c r="P251" t="s">
        <v>1219</v>
      </c>
    </row>
    <row r="252" spans="1:16" x14ac:dyDescent="0.45">
      <c r="A252" t="s">
        <v>1220</v>
      </c>
      <c r="B252">
        <v>46</v>
      </c>
      <c r="C252" t="s">
        <v>83</v>
      </c>
      <c r="D252" t="s">
        <v>84</v>
      </c>
      <c r="E252">
        <v>4051.95</v>
      </c>
      <c r="F252">
        <v>19878.009999999998</v>
      </c>
      <c r="G252" t="s">
        <v>19</v>
      </c>
      <c r="H252" s="1">
        <v>45387</v>
      </c>
      <c r="I252" s="1">
        <v>45752</v>
      </c>
      <c r="J252" t="s">
        <v>1221</v>
      </c>
      <c r="K252" t="s">
        <v>28</v>
      </c>
      <c r="L252" t="s">
        <v>43</v>
      </c>
      <c r="M252">
        <v>0.72</v>
      </c>
      <c r="N252" t="s">
        <v>1222</v>
      </c>
      <c r="O252" t="s">
        <v>1223</v>
      </c>
      <c r="P252" t="s">
        <v>1224</v>
      </c>
    </row>
    <row r="253" spans="1:16" x14ac:dyDescent="0.45">
      <c r="A253" t="s">
        <v>1225</v>
      </c>
      <c r="B253">
        <v>18</v>
      </c>
      <c r="C253" t="s">
        <v>32</v>
      </c>
      <c r="D253" t="s">
        <v>67</v>
      </c>
      <c r="E253">
        <v>2822.67</v>
      </c>
      <c r="F253">
        <v>14423.09</v>
      </c>
      <c r="G253" t="s">
        <v>19</v>
      </c>
      <c r="H253" s="1">
        <v>45011</v>
      </c>
      <c r="I253" s="1">
        <v>45276</v>
      </c>
      <c r="J253" t="s">
        <v>1226</v>
      </c>
      <c r="K253" t="s">
        <v>50</v>
      </c>
      <c r="L253" t="s">
        <v>36</v>
      </c>
      <c r="M253">
        <v>0.86</v>
      </c>
      <c r="N253" t="s">
        <v>1227</v>
      </c>
      <c r="O253" t="s">
        <v>1228</v>
      </c>
      <c r="P253" t="s">
        <v>1229</v>
      </c>
    </row>
    <row r="254" spans="1:16" x14ac:dyDescent="0.45">
      <c r="A254" t="s">
        <v>1230</v>
      </c>
      <c r="B254">
        <v>25</v>
      </c>
      <c r="C254" t="s">
        <v>55</v>
      </c>
      <c r="D254" t="s">
        <v>84</v>
      </c>
      <c r="E254">
        <v>3926.47</v>
      </c>
      <c r="F254">
        <v>11591.47</v>
      </c>
      <c r="G254" t="s">
        <v>19</v>
      </c>
      <c r="H254" s="1">
        <v>44807</v>
      </c>
      <c r="I254" s="1">
        <v>44957</v>
      </c>
      <c r="J254" t="s">
        <v>1231</v>
      </c>
      <c r="K254" t="s">
        <v>28</v>
      </c>
      <c r="L254" t="s">
        <v>22</v>
      </c>
      <c r="M254">
        <v>0.19</v>
      </c>
      <c r="N254" t="s">
        <v>1232</v>
      </c>
      <c r="O254" t="s">
        <v>1233</v>
      </c>
      <c r="P254" t="s">
        <v>1234</v>
      </c>
    </row>
    <row r="255" spans="1:16" x14ac:dyDescent="0.45">
      <c r="A255" t="s">
        <v>1235</v>
      </c>
      <c r="B255">
        <v>36</v>
      </c>
      <c r="C255" t="s">
        <v>83</v>
      </c>
      <c r="D255" t="s">
        <v>67</v>
      </c>
      <c r="E255">
        <v>2914.31</v>
      </c>
      <c r="F255">
        <v>8510.11</v>
      </c>
      <c r="G255" t="s">
        <v>19</v>
      </c>
      <c r="H255" s="1">
        <v>45459</v>
      </c>
      <c r="I255" s="1">
        <v>45820</v>
      </c>
      <c r="J255" t="s">
        <v>1236</v>
      </c>
      <c r="K255" t="s">
        <v>50</v>
      </c>
      <c r="L255" t="s">
        <v>22</v>
      </c>
      <c r="M255">
        <v>0.54</v>
      </c>
      <c r="N255" t="s">
        <v>1237</v>
      </c>
      <c r="O255" t="s">
        <v>1238</v>
      </c>
      <c r="P255" t="s">
        <v>1239</v>
      </c>
    </row>
    <row r="256" spans="1:16" x14ac:dyDescent="0.45">
      <c r="A256" t="s">
        <v>1240</v>
      </c>
      <c r="B256">
        <v>47</v>
      </c>
      <c r="C256" t="s">
        <v>26</v>
      </c>
      <c r="D256" t="s">
        <v>33</v>
      </c>
      <c r="E256">
        <v>4008.33</v>
      </c>
      <c r="F256">
        <v>12827.65</v>
      </c>
      <c r="G256" t="s">
        <v>19</v>
      </c>
      <c r="H256" s="1">
        <v>44856</v>
      </c>
      <c r="I256" s="1">
        <v>45408</v>
      </c>
      <c r="J256" t="s">
        <v>1241</v>
      </c>
      <c r="K256" t="s">
        <v>21</v>
      </c>
      <c r="L256" t="s">
        <v>36</v>
      </c>
      <c r="M256">
        <v>0.67</v>
      </c>
      <c r="N256" t="s">
        <v>1242</v>
      </c>
      <c r="O256" t="s">
        <v>1243</v>
      </c>
      <c r="P256" t="s">
        <v>1244</v>
      </c>
    </row>
    <row r="257" spans="1:16" x14ac:dyDescent="0.45">
      <c r="A257" t="s">
        <v>1245</v>
      </c>
      <c r="B257">
        <v>53</v>
      </c>
      <c r="C257" t="s">
        <v>66</v>
      </c>
      <c r="D257" t="s">
        <v>67</v>
      </c>
      <c r="E257">
        <v>4207.96</v>
      </c>
      <c r="F257">
        <v>12777.42</v>
      </c>
      <c r="G257" t="s">
        <v>85</v>
      </c>
      <c r="H257" s="1">
        <v>45003</v>
      </c>
      <c r="I257" s="1">
        <v>45108</v>
      </c>
      <c r="J257" t="s">
        <v>1246</v>
      </c>
      <c r="K257" t="s">
        <v>21</v>
      </c>
      <c r="L257" t="s">
        <v>22</v>
      </c>
      <c r="M257">
        <v>0.4</v>
      </c>
      <c r="N257" t="s">
        <v>1247</v>
      </c>
      <c r="O257" t="s">
        <v>1248</v>
      </c>
      <c r="P257" t="s">
        <v>1249</v>
      </c>
    </row>
    <row r="258" spans="1:16" x14ac:dyDescent="0.45">
      <c r="A258" t="s">
        <v>1250</v>
      </c>
      <c r="B258">
        <v>56</v>
      </c>
      <c r="C258" t="s">
        <v>40</v>
      </c>
      <c r="D258" t="s">
        <v>84</v>
      </c>
      <c r="E258">
        <v>4827.1499999999996</v>
      </c>
      <c r="F258">
        <v>19498.89</v>
      </c>
      <c r="G258" t="s">
        <v>19</v>
      </c>
      <c r="H258" s="1">
        <v>45350</v>
      </c>
      <c r="I258" s="1">
        <v>45758</v>
      </c>
      <c r="J258" t="s">
        <v>1251</v>
      </c>
      <c r="K258" t="s">
        <v>28</v>
      </c>
      <c r="L258" t="s">
        <v>36</v>
      </c>
      <c r="M258">
        <v>0.43</v>
      </c>
      <c r="N258" t="s">
        <v>1252</v>
      </c>
      <c r="O258" t="s">
        <v>1253</v>
      </c>
      <c r="P258" t="s">
        <v>1254</v>
      </c>
    </row>
    <row r="259" spans="1:16" x14ac:dyDescent="0.45">
      <c r="A259" t="s">
        <v>1255</v>
      </c>
      <c r="B259">
        <v>48</v>
      </c>
      <c r="C259" t="s">
        <v>66</v>
      </c>
      <c r="D259" t="s">
        <v>33</v>
      </c>
      <c r="E259">
        <v>317.89</v>
      </c>
      <c r="F259">
        <v>2464.6799999999998</v>
      </c>
      <c r="G259" t="s">
        <v>19</v>
      </c>
      <c r="H259" s="1">
        <v>45199</v>
      </c>
      <c r="I259" s="1">
        <v>45204</v>
      </c>
      <c r="J259" t="s">
        <v>1256</v>
      </c>
      <c r="K259" t="s">
        <v>50</v>
      </c>
      <c r="L259" t="s">
        <v>43</v>
      </c>
      <c r="M259">
        <v>0.53</v>
      </c>
      <c r="N259" t="s">
        <v>1257</v>
      </c>
      <c r="O259">
        <v>53857632</v>
      </c>
      <c r="P259" t="s">
        <v>1258</v>
      </c>
    </row>
    <row r="260" spans="1:16" x14ac:dyDescent="0.45">
      <c r="A260" t="s">
        <v>1259</v>
      </c>
      <c r="B260">
        <v>46</v>
      </c>
      <c r="C260" t="s">
        <v>17</v>
      </c>
      <c r="D260" t="s">
        <v>67</v>
      </c>
      <c r="E260">
        <v>4804.49</v>
      </c>
      <c r="F260">
        <v>19058.689999999999</v>
      </c>
      <c r="G260" t="s">
        <v>85</v>
      </c>
      <c r="H260" s="1">
        <v>45158</v>
      </c>
      <c r="I260" s="1">
        <v>45785</v>
      </c>
      <c r="J260" t="s">
        <v>1260</v>
      </c>
      <c r="K260" t="s">
        <v>50</v>
      </c>
      <c r="L260" t="s">
        <v>43</v>
      </c>
      <c r="M260">
        <v>0.74</v>
      </c>
      <c r="N260" t="s">
        <v>1261</v>
      </c>
      <c r="O260" t="s">
        <v>1262</v>
      </c>
      <c r="P260" t="s">
        <v>1263</v>
      </c>
    </row>
    <row r="261" spans="1:16" x14ac:dyDescent="0.45">
      <c r="A261" t="s">
        <v>1264</v>
      </c>
      <c r="B261">
        <v>52</v>
      </c>
      <c r="C261" t="s">
        <v>26</v>
      </c>
      <c r="D261" t="s">
        <v>84</v>
      </c>
      <c r="E261">
        <v>2515.12</v>
      </c>
      <c r="F261">
        <v>11640.36</v>
      </c>
      <c r="G261" t="s">
        <v>19</v>
      </c>
      <c r="H261" s="1">
        <v>45411</v>
      </c>
      <c r="I261" s="1">
        <v>45688</v>
      </c>
      <c r="J261" t="s">
        <v>1265</v>
      </c>
      <c r="K261" t="s">
        <v>35</v>
      </c>
      <c r="L261" t="s">
        <v>22</v>
      </c>
      <c r="M261">
        <v>0.69</v>
      </c>
      <c r="N261" t="s">
        <v>1266</v>
      </c>
      <c r="O261" t="s">
        <v>1267</v>
      </c>
      <c r="P261" t="s">
        <v>1268</v>
      </c>
    </row>
    <row r="262" spans="1:16" x14ac:dyDescent="0.45">
      <c r="A262" t="s">
        <v>1269</v>
      </c>
      <c r="B262">
        <v>70</v>
      </c>
      <c r="C262" t="s">
        <v>32</v>
      </c>
      <c r="D262" t="s">
        <v>33</v>
      </c>
      <c r="E262">
        <v>2804.15</v>
      </c>
      <c r="F262">
        <v>14994.9</v>
      </c>
      <c r="G262" t="s">
        <v>104</v>
      </c>
      <c r="H262" s="1">
        <v>45035</v>
      </c>
      <c r="I262" s="1">
        <v>45445</v>
      </c>
      <c r="J262" t="s">
        <v>1270</v>
      </c>
      <c r="K262" t="s">
        <v>50</v>
      </c>
      <c r="L262" t="s">
        <v>22</v>
      </c>
      <c r="M262">
        <v>0.46</v>
      </c>
      <c r="N262" t="s">
        <v>1271</v>
      </c>
      <c r="O262" t="s">
        <v>1272</v>
      </c>
      <c r="P262" t="s">
        <v>1273</v>
      </c>
    </row>
    <row r="263" spans="1:16" x14ac:dyDescent="0.45">
      <c r="A263" t="s">
        <v>1274</v>
      </c>
      <c r="B263">
        <v>44</v>
      </c>
      <c r="C263" t="s">
        <v>66</v>
      </c>
      <c r="D263" t="s">
        <v>41</v>
      </c>
      <c r="E263">
        <v>1504.54</v>
      </c>
      <c r="F263">
        <v>12266.59</v>
      </c>
      <c r="G263" t="s">
        <v>104</v>
      </c>
      <c r="H263" s="1">
        <v>45378</v>
      </c>
      <c r="I263" s="1">
        <v>45760</v>
      </c>
      <c r="J263" t="s">
        <v>1275</v>
      </c>
      <c r="K263" t="s">
        <v>35</v>
      </c>
      <c r="L263" t="s">
        <v>36</v>
      </c>
      <c r="M263">
        <v>0.54</v>
      </c>
      <c r="N263" t="s">
        <v>1276</v>
      </c>
      <c r="O263" t="s">
        <v>1277</v>
      </c>
      <c r="P263" t="s">
        <v>1278</v>
      </c>
    </row>
    <row r="264" spans="1:16" x14ac:dyDescent="0.45">
      <c r="A264" t="s">
        <v>1279</v>
      </c>
      <c r="B264">
        <v>18</v>
      </c>
      <c r="C264" t="s">
        <v>40</v>
      </c>
      <c r="D264" t="s">
        <v>67</v>
      </c>
      <c r="E264">
        <v>4010.63</v>
      </c>
      <c r="F264">
        <v>11515.99</v>
      </c>
      <c r="G264" t="s">
        <v>19</v>
      </c>
      <c r="H264" s="1">
        <v>45467</v>
      </c>
      <c r="I264" s="1">
        <v>45847</v>
      </c>
      <c r="J264" t="s">
        <v>1280</v>
      </c>
      <c r="K264" t="s">
        <v>28</v>
      </c>
      <c r="L264" t="s">
        <v>43</v>
      </c>
      <c r="M264">
        <v>0.89</v>
      </c>
      <c r="N264" t="s">
        <v>1281</v>
      </c>
      <c r="O264">
        <f>61-8-2506-3360</f>
        <v>-5813</v>
      </c>
      <c r="P264" t="s">
        <v>1282</v>
      </c>
    </row>
    <row r="265" spans="1:16" x14ac:dyDescent="0.45">
      <c r="A265" t="s">
        <v>1283</v>
      </c>
      <c r="B265">
        <v>26</v>
      </c>
      <c r="C265" t="s">
        <v>26</v>
      </c>
      <c r="D265" t="s">
        <v>33</v>
      </c>
      <c r="E265">
        <v>3315.32</v>
      </c>
      <c r="F265">
        <v>14417.69</v>
      </c>
      <c r="G265" t="s">
        <v>19</v>
      </c>
      <c r="H265" s="1">
        <v>44940</v>
      </c>
      <c r="I265" s="1">
        <v>45574</v>
      </c>
      <c r="J265" t="s">
        <v>1284</v>
      </c>
      <c r="K265" t="s">
        <v>28</v>
      </c>
      <c r="L265" t="s">
        <v>36</v>
      </c>
      <c r="M265">
        <v>0.33</v>
      </c>
      <c r="N265" t="s">
        <v>1285</v>
      </c>
      <c r="O265" t="s">
        <v>1286</v>
      </c>
      <c r="P265" t="s">
        <v>1287</v>
      </c>
    </row>
    <row r="266" spans="1:16" x14ac:dyDescent="0.45">
      <c r="A266" t="s">
        <v>1288</v>
      </c>
      <c r="B266">
        <v>55</v>
      </c>
      <c r="C266" t="s">
        <v>55</v>
      </c>
      <c r="D266" t="s">
        <v>41</v>
      </c>
      <c r="E266">
        <v>4222.49</v>
      </c>
      <c r="F266">
        <v>9640.5400000000009</v>
      </c>
      <c r="G266" t="s">
        <v>85</v>
      </c>
      <c r="H266" s="1">
        <v>44996</v>
      </c>
      <c r="I266" s="1">
        <v>45247</v>
      </c>
      <c r="J266" t="s">
        <v>1289</v>
      </c>
      <c r="K266" t="s">
        <v>35</v>
      </c>
      <c r="L266" t="s">
        <v>22</v>
      </c>
      <c r="M266">
        <v>0.43</v>
      </c>
      <c r="N266" t="s">
        <v>1290</v>
      </c>
      <c r="O266" t="s">
        <v>1291</v>
      </c>
      <c r="P266" t="s">
        <v>1292</v>
      </c>
    </row>
    <row r="267" spans="1:16" x14ac:dyDescent="0.45">
      <c r="A267" t="s">
        <v>1293</v>
      </c>
      <c r="B267">
        <v>62</v>
      </c>
      <c r="C267" t="s">
        <v>32</v>
      </c>
      <c r="D267" t="s">
        <v>41</v>
      </c>
      <c r="E267">
        <v>3748.55</v>
      </c>
      <c r="F267">
        <v>420.41</v>
      </c>
      <c r="G267" t="s">
        <v>19</v>
      </c>
      <c r="H267" s="1">
        <v>45342</v>
      </c>
      <c r="I267" s="1">
        <v>45825</v>
      </c>
      <c r="J267" t="s">
        <v>1294</v>
      </c>
      <c r="K267" t="s">
        <v>50</v>
      </c>
      <c r="L267" t="s">
        <v>22</v>
      </c>
      <c r="M267">
        <v>0.67</v>
      </c>
      <c r="N267" t="s">
        <v>1295</v>
      </c>
      <c r="O267" t="s">
        <v>1296</v>
      </c>
      <c r="P267" t="s">
        <v>1297</v>
      </c>
    </row>
    <row r="268" spans="1:16" x14ac:dyDescent="0.45">
      <c r="A268" t="s">
        <v>1298</v>
      </c>
      <c r="B268">
        <v>45</v>
      </c>
      <c r="C268" t="s">
        <v>83</v>
      </c>
      <c r="D268" t="s">
        <v>84</v>
      </c>
      <c r="E268">
        <v>2688.92</v>
      </c>
      <c r="F268">
        <v>5992.57</v>
      </c>
      <c r="G268" t="s">
        <v>19</v>
      </c>
      <c r="H268" s="1">
        <v>45392</v>
      </c>
      <c r="I268" s="1">
        <v>45699</v>
      </c>
      <c r="J268" t="s">
        <v>1299</v>
      </c>
      <c r="K268" t="s">
        <v>35</v>
      </c>
      <c r="L268" t="s">
        <v>36</v>
      </c>
      <c r="M268">
        <v>0.23</v>
      </c>
      <c r="N268" t="s">
        <v>1300</v>
      </c>
      <c r="O268" t="s">
        <v>1301</v>
      </c>
      <c r="P268" t="s">
        <v>1302</v>
      </c>
    </row>
    <row r="269" spans="1:16" x14ac:dyDescent="0.45">
      <c r="A269" t="s">
        <v>1303</v>
      </c>
      <c r="B269">
        <v>50</v>
      </c>
      <c r="C269" t="s">
        <v>26</v>
      </c>
      <c r="D269" t="s">
        <v>18</v>
      </c>
      <c r="E269">
        <v>4887.2700000000004</v>
      </c>
      <c r="F269">
        <v>18295.060000000001</v>
      </c>
      <c r="G269" t="s">
        <v>85</v>
      </c>
      <c r="H269" s="1">
        <v>45052</v>
      </c>
      <c r="I269" s="1">
        <v>45852</v>
      </c>
      <c r="J269" t="s">
        <v>1304</v>
      </c>
      <c r="K269" t="s">
        <v>50</v>
      </c>
      <c r="L269" t="s">
        <v>22</v>
      </c>
      <c r="M269">
        <v>0.57999999999999996</v>
      </c>
      <c r="N269" t="s">
        <v>1305</v>
      </c>
      <c r="O269">
        <v>802.55409999999995</v>
      </c>
      <c r="P269" t="s">
        <v>1306</v>
      </c>
    </row>
    <row r="270" spans="1:16" x14ac:dyDescent="0.45">
      <c r="A270" t="s">
        <v>1307</v>
      </c>
      <c r="B270">
        <v>45</v>
      </c>
      <c r="C270" t="s">
        <v>32</v>
      </c>
      <c r="D270" t="s">
        <v>18</v>
      </c>
      <c r="E270">
        <v>491.08</v>
      </c>
      <c r="F270">
        <v>10465.58</v>
      </c>
      <c r="G270" t="s">
        <v>19</v>
      </c>
      <c r="H270" s="1">
        <v>44994</v>
      </c>
      <c r="I270" s="1">
        <v>45394</v>
      </c>
      <c r="J270" t="s">
        <v>1308</v>
      </c>
      <c r="K270" t="s">
        <v>21</v>
      </c>
      <c r="L270" t="s">
        <v>22</v>
      </c>
      <c r="M270">
        <v>0.56999999999999995</v>
      </c>
      <c r="N270" t="s">
        <v>1309</v>
      </c>
      <c r="O270" t="s">
        <v>1310</v>
      </c>
      <c r="P270" t="s">
        <v>1311</v>
      </c>
    </row>
    <row r="271" spans="1:16" x14ac:dyDescent="0.45">
      <c r="A271" t="s">
        <v>1312</v>
      </c>
      <c r="B271">
        <v>58</v>
      </c>
      <c r="C271" t="s">
        <v>83</v>
      </c>
      <c r="D271" t="s">
        <v>84</v>
      </c>
      <c r="E271">
        <v>1191.3399999999999</v>
      </c>
      <c r="F271">
        <v>10022.81</v>
      </c>
      <c r="G271" t="s">
        <v>19</v>
      </c>
      <c r="H271" s="1">
        <v>45501</v>
      </c>
      <c r="I271" s="1">
        <v>45850</v>
      </c>
      <c r="J271" t="s">
        <v>1313</v>
      </c>
      <c r="K271" t="s">
        <v>28</v>
      </c>
      <c r="L271" t="s">
        <v>36</v>
      </c>
      <c r="M271">
        <v>0.03</v>
      </c>
      <c r="N271" t="s">
        <v>1314</v>
      </c>
      <c r="O271" t="s">
        <v>1315</v>
      </c>
      <c r="P271" t="s">
        <v>1316</v>
      </c>
    </row>
    <row r="272" spans="1:16" x14ac:dyDescent="0.45">
      <c r="A272" t="s">
        <v>1317</v>
      </c>
      <c r="B272">
        <v>68</v>
      </c>
      <c r="C272" t="s">
        <v>40</v>
      </c>
      <c r="D272" t="s">
        <v>41</v>
      </c>
      <c r="E272">
        <v>4707.45</v>
      </c>
      <c r="F272">
        <v>4559.34</v>
      </c>
      <c r="G272" t="s">
        <v>85</v>
      </c>
      <c r="H272" s="1">
        <v>45299</v>
      </c>
      <c r="I272" s="1">
        <v>45320</v>
      </c>
      <c r="J272" t="s">
        <v>1318</v>
      </c>
      <c r="K272" t="s">
        <v>28</v>
      </c>
      <c r="L272" t="s">
        <v>36</v>
      </c>
      <c r="M272">
        <v>0.17</v>
      </c>
      <c r="N272" t="s">
        <v>1319</v>
      </c>
      <c r="O272" t="s">
        <v>1320</v>
      </c>
      <c r="P272" t="s">
        <v>1321</v>
      </c>
    </row>
    <row r="273" spans="1:16" x14ac:dyDescent="0.45">
      <c r="A273" t="s">
        <v>1322</v>
      </c>
      <c r="B273">
        <v>36</v>
      </c>
      <c r="C273" t="s">
        <v>40</v>
      </c>
      <c r="D273" t="s">
        <v>18</v>
      </c>
      <c r="E273">
        <v>3677.1</v>
      </c>
      <c r="F273">
        <v>15834.52</v>
      </c>
      <c r="G273" t="s">
        <v>104</v>
      </c>
      <c r="H273" s="1">
        <v>44830</v>
      </c>
      <c r="I273" s="1">
        <v>45229</v>
      </c>
      <c r="J273" t="s">
        <v>1323</v>
      </c>
      <c r="K273" t="s">
        <v>50</v>
      </c>
      <c r="L273" t="s">
        <v>36</v>
      </c>
      <c r="M273">
        <v>0.16</v>
      </c>
      <c r="N273" t="s">
        <v>1324</v>
      </c>
      <c r="O273">
        <v>284247015</v>
      </c>
      <c r="P273" t="s">
        <v>1325</v>
      </c>
    </row>
    <row r="274" spans="1:16" x14ac:dyDescent="0.45">
      <c r="A274" t="s">
        <v>1326</v>
      </c>
      <c r="B274">
        <v>73</v>
      </c>
      <c r="C274" t="s">
        <v>40</v>
      </c>
      <c r="D274" t="s">
        <v>33</v>
      </c>
      <c r="E274">
        <v>2260.75</v>
      </c>
      <c r="F274">
        <v>11427.18</v>
      </c>
      <c r="G274" t="s">
        <v>85</v>
      </c>
      <c r="H274" s="1">
        <v>44853</v>
      </c>
      <c r="I274" s="1">
        <v>44928</v>
      </c>
      <c r="J274" t="s">
        <v>1327</v>
      </c>
      <c r="K274" t="s">
        <v>50</v>
      </c>
      <c r="L274" t="s">
        <v>36</v>
      </c>
      <c r="M274">
        <v>0.81</v>
      </c>
      <c r="N274" t="s">
        <v>1328</v>
      </c>
      <c r="O274" t="s">
        <v>1329</v>
      </c>
      <c r="P274" t="s">
        <v>1330</v>
      </c>
    </row>
    <row r="275" spans="1:16" x14ac:dyDescent="0.45">
      <c r="A275" t="s">
        <v>1331</v>
      </c>
      <c r="B275">
        <v>41</v>
      </c>
      <c r="C275" t="s">
        <v>32</v>
      </c>
      <c r="D275" t="s">
        <v>84</v>
      </c>
      <c r="E275">
        <v>1065.04</v>
      </c>
      <c r="F275">
        <v>4019.89</v>
      </c>
      <c r="G275" t="s">
        <v>19</v>
      </c>
      <c r="H275" s="1">
        <v>44983</v>
      </c>
      <c r="I275" s="1">
        <v>45726</v>
      </c>
      <c r="J275" t="s">
        <v>1332</v>
      </c>
      <c r="K275" t="s">
        <v>21</v>
      </c>
      <c r="L275" t="s">
        <v>36</v>
      </c>
      <c r="M275">
        <v>0.27</v>
      </c>
      <c r="N275" t="s">
        <v>1333</v>
      </c>
      <c r="O275" t="s">
        <v>1334</v>
      </c>
      <c r="P275" t="s">
        <v>1335</v>
      </c>
    </row>
    <row r="276" spans="1:16" x14ac:dyDescent="0.45">
      <c r="A276" t="s">
        <v>1336</v>
      </c>
      <c r="B276">
        <v>46</v>
      </c>
      <c r="C276" t="s">
        <v>32</v>
      </c>
      <c r="D276" t="s">
        <v>33</v>
      </c>
      <c r="E276">
        <v>1831.75</v>
      </c>
      <c r="F276">
        <v>12976.81</v>
      </c>
      <c r="G276" t="s">
        <v>19</v>
      </c>
      <c r="H276" s="1">
        <v>45199</v>
      </c>
      <c r="I276" s="1">
        <v>45768</v>
      </c>
      <c r="J276" t="s">
        <v>1337</v>
      </c>
      <c r="K276" t="s">
        <v>28</v>
      </c>
      <c r="L276" t="s">
        <v>43</v>
      </c>
      <c r="M276">
        <v>0.37</v>
      </c>
      <c r="N276" t="s">
        <v>1338</v>
      </c>
      <c r="O276" t="s">
        <v>1339</v>
      </c>
      <c r="P276" t="s">
        <v>1340</v>
      </c>
    </row>
    <row r="277" spans="1:16" x14ac:dyDescent="0.45">
      <c r="A277" t="s">
        <v>1341</v>
      </c>
      <c r="B277">
        <v>44</v>
      </c>
      <c r="C277" t="s">
        <v>32</v>
      </c>
      <c r="D277" t="s">
        <v>33</v>
      </c>
      <c r="E277">
        <v>1875.02</v>
      </c>
      <c r="F277">
        <v>1949.75</v>
      </c>
      <c r="G277" t="s">
        <v>19</v>
      </c>
      <c r="H277" s="1">
        <v>44827</v>
      </c>
      <c r="I277" s="1">
        <v>45250</v>
      </c>
      <c r="J277" t="s">
        <v>1342</v>
      </c>
      <c r="K277" t="s">
        <v>35</v>
      </c>
      <c r="L277" t="s">
        <v>36</v>
      </c>
      <c r="M277">
        <v>0.13</v>
      </c>
      <c r="N277" t="s">
        <v>1343</v>
      </c>
      <c r="O277" t="s">
        <v>1344</v>
      </c>
      <c r="P277" t="s">
        <v>1345</v>
      </c>
    </row>
    <row r="278" spans="1:16" x14ac:dyDescent="0.45">
      <c r="A278" t="s">
        <v>1346</v>
      </c>
      <c r="B278">
        <v>52</v>
      </c>
      <c r="C278" t="s">
        <v>32</v>
      </c>
      <c r="D278" t="s">
        <v>18</v>
      </c>
      <c r="E278">
        <v>4960.3900000000003</v>
      </c>
      <c r="F278">
        <v>3257.13</v>
      </c>
      <c r="G278" t="s">
        <v>104</v>
      </c>
      <c r="H278" s="1">
        <v>45001</v>
      </c>
      <c r="I278" s="1">
        <v>45598</v>
      </c>
      <c r="J278" t="s">
        <v>1347</v>
      </c>
      <c r="K278" t="s">
        <v>28</v>
      </c>
      <c r="L278" t="s">
        <v>43</v>
      </c>
      <c r="M278">
        <v>0.41</v>
      </c>
      <c r="N278" t="s">
        <v>1348</v>
      </c>
      <c r="O278" t="s">
        <v>1349</v>
      </c>
      <c r="P278" t="s">
        <v>1350</v>
      </c>
    </row>
    <row r="279" spans="1:16" x14ac:dyDescent="0.45">
      <c r="A279" t="s">
        <v>1351</v>
      </c>
      <c r="B279">
        <v>40</v>
      </c>
      <c r="C279" t="s">
        <v>32</v>
      </c>
      <c r="D279" t="s">
        <v>41</v>
      </c>
      <c r="E279">
        <v>2039.3</v>
      </c>
      <c r="F279">
        <v>18039.95</v>
      </c>
      <c r="G279" t="s">
        <v>19</v>
      </c>
      <c r="H279" s="1">
        <v>45461</v>
      </c>
      <c r="I279" s="1">
        <v>45631</v>
      </c>
      <c r="J279" t="s">
        <v>1352</v>
      </c>
      <c r="K279" t="s">
        <v>28</v>
      </c>
      <c r="L279" t="s">
        <v>43</v>
      </c>
      <c r="M279">
        <v>0.26</v>
      </c>
      <c r="N279" t="s">
        <v>1353</v>
      </c>
      <c r="O279" t="s">
        <v>1354</v>
      </c>
      <c r="P279" t="s">
        <v>1355</v>
      </c>
    </row>
    <row r="280" spans="1:16" x14ac:dyDescent="0.45">
      <c r="A280" t="s">
        <v>1356</v>
      </c>
      <c r="B280">
        <v>39</v>
      </c>
      <c r="C280" t="s">
        <v>55</v>
      </c>
      <c r="D280" t="s">
        <v>84</v>
      </c>
      <c r="E280">
        <v>493.2</v>
      </c>
      <c r="F280">
        <v>17557.63</v>
      </c>
      <c r="G280" t="s">
        <v>104</v>
      </c>
      <c r="H280" s="1">
        <v>45374</v>
      </c>
      <c r="I280" s="1">
        <v>45549</v>
      </c>
      <c r="J280" t="s">
        <v>1357</v>
      </c>
      <c r="K280" t="s">
        <v>28</v>
      </c>
      <c r="L280" t="s">
        <v>22</v>
      </c>
      <c r="M280">
        <v>0.94</v>
      </c>
      <c r="N280" t="s">
        <v>1358</v>
      </c>
      <c r="O280" t="s">
        <v>1359</v>
      </c>
      <c r="P280" t="s">
        <v>1360</v>
      </c>
    </row>
    <row r="281" spans="1:16" x14ac:dyDescent="0.45">
      <c r="A281" t="s">
        <v>1361</v>
      </c>
      <c r="B281">
        <v>42</v>
      </c>
      <c r="C281" t="s">
        <v>48</v>
      </c>
      <c r="D281" t="s">
        <v>67</v>
      </c>
      <c r="E281">
        <v>3905.21</v>
      </c>
      <c r="F281">
        <v>13477.86</v>
      </c>
      <c r="G281" t="s">
        <v>19</v>
      </c>
      <c r="H281" s="1">
        <v>45046</v>
      </c>
      <c r="I281" s="1">
        <v>45065</v>
      </c>
      <c r="J281" t="s">
        <v>1362</v>
      </c>
      <c r="K281" t="s">
        <v>35</v>
      </c>
      <c r="L281" t="s">
        <v>36</v>
      </c>
      <c r="M281">
        <v>0.49</v>
      </c>
      <c r="N281" t="s">
        <v>1363</v>
      </c>
      <c r="O281" t="s">
        <v>1364</v>
      </c>
      <c r="P281" t="s">
        <v>1365</v>
      </c>
    </row>
    <row r="282" spans="1:16" x14ac:dyDescent="0.45">
      <c r="A282" t="s">
        <v>1366</v>
      </c>
      <c r="B282">
        <v>61</v>
      </c>
      <c r="C282" t="s">
        <v>55</v>
      </c>
      <c r="D282" t="s">
        <v>18</v>
      </c>
      <c r="E282">
        <v>3388.4</v>
      </c>
      <c r="F282">
        <v>3238.26</v>
      </c>
      <c r="G282" t="s">
        <v>19</v>
      </c>
      <c r="H282" s="1">
        <v>44783</v>
      </c>
      <c r="I282" s="1">
        <v>45019</v>
      </c>
      <c r="J282" t="s">
        <v>1367</v>
      </c>
      <c r="K282" t="s">
        <v>35</v>
      </c>
      <c r="L282" t="s">
        <v>22</v>
      </c>
      <c r="M282">
        <v>0.19</v>
      </c>
      <c r="N282" t="s">
        <v>1368</v>
      </c>
      <c r="O282" t="s">
        <v>1369</v>
      </c>
      <c r="P282" t="s">
        <v>1370</v>
      </c>
    </row>
    <row r="283" spans="1:16" x14ac:dyDescent="0.45">
      <c r="A283" t="s">
        <v>1371</v>
      </c>
      <c r="B283">
        <v>63</v>
      </c>
      <c r="C283" t="s">
        <v>26</v>
      </c>
      <c r="D283" t="s">
        <v>67</v>
      </c>
      <c r="E283">
        <v>4125.7</v>
      </c>
      <c r="F283">
        <v>9861.0300000000007</v>
      </c>
      <c r="G283" t="s">
        <v>85</v>
      </c>
      <c r="H283" s="1">
        <v>45243</v>
      </c>
      <c r="I283" s="1">
        <v>45660</v>
      </c>
      <c r="J283" t="s">
        <v>1372</v>
      </c>
      <c r="K283" t="s">
        <v>21</v>
      </c>
      <c r="L283" t="s">
        <v>22</v>
      </c>
      <c r="M283">
        <v>0.28000000000000003</v>
      </c>
      <c r="N283" t="s">
        <v>1373</v>
      </c>
      <c r="O283" t="s">
        <v>1374</v>
      </c>
      <c r="P283" t="s">
        <v>1375</v>
      </c>
    </row>
    <row r="284" spans="1:16" x14ac:dyDescent="0.45">
      <c r="A284" t="s">
        <v>1376</v>
      </c>
      <c r="B284">
        <v>41</v>
      </c>
      <c r="C284" t="s">
        <v>32</v>
      </c>
      <c r="D284" t="s">
        <v>33</v>
      </c>
      <c r="E284">
        <v>3090.44</v>
      </c>
      <c r="F284">
        <v>227.95</v>
      </c>
      <c r="G284" t="s">
        <v>85</v>
      </c>
      <c r="H284" s="1">
        <v>45446</v>
      </c>
      <c r="I284" s="1">
        <v>45534</v>
      </c>
      <c r="J284" t="s">
        <v>1377</v>
      </c>
      <c r="K284" t="s">
        <v>35</v>
      </c>
      <c r="L284" t="s">
        <v>36</v>
      </c>
      <c r="M284">
        <v>0.64</v>
      </c>
      <c r="N284" t="s">
        <v>1378</v>
      </c>
      <c r="O284" t="s">
        <v>1379</v>
      </c>
      <c r="P284" t="s">
        <v>1380</v>
      </c>
    </row>
    <row r="285" spans="1:16" x14ac:dyDescent="0.45">
      <c r="A285" t="s">
        <v>1381</v>
      </c>
      <c r="B285">
        <v>45</v>
      </c>
      <c r="C285" t="s">
        <v>26</v>
      </c>
      <c r="D285" t="s">
        <v>33</v>
      </c>
      <c r="E285">
        <v>4658.59</v>
      </c>
      <c r="F285">
        <v>13465.99</v>
      </c>
      <c r="G285" t="s">
        <v>19</v>
      </c>
      <c r="H285" s="1">
        <v>44961</v>
      </c>
      <c r="I285" s="1">
        <v>45161</v>
      </c>
      <c r="J285" t="s">
        <v>1382</v>
      </c>
      <c r="K285" t="s">
        <v>21</v>
      </c>
      <c r="L285" t="s">
        <v>22</v>
      </c>
      <c r="M285">
        <v>0.55000000000000004</v>
      </c>
      <c r="N285" t="s">
        <v>1383</v>
      </c>
      <c r="O285" t="s">
        <v>1384</v>
      </c>
      <c r="P285" t="s">
        <v>1385</v>
      </c>
    </row>
    <row r="286" spans="1:16" x14ac:dyDescent="0.45">
      <c r="A286" t="s">
        <v>1386</v>
      </c>
      <c r="B286">
        <v>62</v>
      </c>
      <c r="C286" t="s">
        <v>32</v>
      </c>
      <c r="D286" t="s">
        <v>41</v>
      </c>
      <c r="E286">
        <v>4428.74</v>
      </c>
      <c r="F286">
        <v>7741.19</v>
      </c>
      <c r="G286" t="s">
        <v>104</v>
      </c>
      <c r="H286" s="1">
        <v>45213</v>
      </c>
      <c r="I286" s="1">
        <v>45575</v>
      </c>
      <c r="J286" t="s">
        <v>1387</v>
      </c>
      <c r="K286" t="s">
        <v>28</v>
      </c>
      <c r="L286" t="s">
        <v>43</v>
      </c>
      <c r="M286">
        <v>0.21</v>
      </c>
      <c r="N286" t="s">
        <v>1388</v>
      </c>
      <c r="O286" t="s">
        <v>1389</v>
      </c>
      <c r="P286" t="s">
        <v>1390</v>
      </c>
    </row>
    <row r="287" spans="1:16" x14ac:dyDescent="0.45">
      <c r="A287" t="s">
        <v>1391</v>
      </c>
      <c r="B287">
        <v>27</v>
      </c>
      <c r="C287" t="s">
        <v>40</v>
      </c>
      <c r="D287" t="s">
        <v>18</v>
      </c>
      <c r="E287">
        <v>4997.8100000000004</v>
      </c>
      <c r="F287">
        <v>6202.39</v>
      </c>
      <c r="G287" t="s">
        <v>104</v>
      </c>
      <c r="H287" s="1">
        <v>44782</v>
      </c>
      <c r="I287" s="1">
        <v>45493</v>
      </c>
      <c r="J287" t="s">
        <v>1392</v>
      </c>
      <c r="K287" t="s">
        <v>28</v>
      </c>
      <c r="L287" t="s">
        <v>43</v>
      </c>
      <c r="M287">
        <v>0.79</v>
      </c>
      <c r="N287" t="s">
        <v>1393</v>
      </c>
      <c r="O287">
        <v>8585.9766999999993</v>
      </c>
      <c r="P287" t="s">
        <v>1394</v>
      </c>
    </row>
    <row r="288" spans="1:16" x14ac:dyDescent="0.45">
      <c r="A288" t="s">
        <v>1395</v>
      </c>
      <c r="B288">
        <v>64</v>
      </c>
      <c r="C288" t="s">
        <v>66</v>
      </c>
      <c r="D288" t="s">
        <v>18</v>
      </c>
      <c r="E288">
        <v>1992.33</v>
      </c>
      <c r="F288">
        <v>4509.6400000000003</v>
      </c>
      <c r="G288" t="s">
        <v>19</v>
      </c>
      <c r="H288" s="1">
        <v>44791</v>
      </c>
      <c r="I288" s="1">
        <v>44908</v>
      </c>
      <c r="J288" t="s">
        <v>1396</v>
      </c>
      <c r="K288" t="s">
        <v>28</v>
      </c>
      <c r="L288" t="s">
        <v>36</v>
      </c>
      <c r="M288">
        <v>0.74</v>
      </c>
      <c r="N288" t="s">
        <v>1397</v>
      </c>
      <c r="O288" t="s">
        <v>1398</v>
      </c>
      <c r="P288" t="s">
        <v>1399</v>
      </c>
    </row>
    <row r="289" spans="1:16" x14ac:dyDescent="0.45">
      <c r="A289" t="s">
        <v>1400</v>
      </c>
      <c r="B289">
        <v>53</v>
      </c>
      <c r="C289" t="s">
        <v>48</v>
      </c>
      <c r="D289" t="s">
        <v>41</v>
      </c>
      <c r="E289">
        <v>4860.42</v>
      </c>
      <c r="F289">
        <v>14644.06</v>
      </c>
      <c r="G289" t="s">
        <v>19</v>
      </c>
      <c r="H289" s="1">
        <v>45322</v>
      </c>
      <c r="I289" s="1">
        <v>45836</v>
      </c>
      <c r="J289" t="s">
        <v>1401</v>
      </c>
      <c r="K289" t="s">
        <v>35</v>
      </c>
      <c r="L289" t="s">
        <v>36</v>
      </c>
      <c r="M289">
        <v>0.28000000000000003</v>
      </c>
      <c r="N289" t="s">
        <v>1402</v>
      </c>
      <c r="O289" t="s">
        <v>1403</v>
      </c>
      <c r="P289" t="s">
        <v>1404</v>
      </c>
    </row>
    <row r="290" spans="1:16" x14ac:dyDescent="0.45">
      <c r="A290" t="s">
        <v>1405</v>
      </c>
      <c r="B290">
        <v>62</v>
      </c>
      <c r="C290" t="s">
        <v>55</v>
      </c>
      <c r="D290" t="s">
        <v>18</v>
      </c>
      <c r="E290">
        <v>3411.61</v>
      </c>
      <c r="F290">
        <v>9374.89</v>
      </c>
      <c r="G290" t="s">
        <v>85</v>
      </c>
      <c r="H290" s="1">
        <v>45036</v>
      </c>
      <c r="I290" s="1">
        <v>45660</v>
      </c>
      <c r="J290" t="s">
        <v>1406</v>
      </c>
      <c r="K290" t="s">
        <v>35</v>
      </c>
      <c r="L290" t="s">
        <v>22</v>
      </c>
      <c r="M290">
        <v>0.94</v>
      </c>
      <c r="N290" t="s">
        <v>1407</v>
      </c>
      <c r="O290" t="s">
        <v>1408</v>
      </c>
      <c r="P290" t="s">
        <v>1409</v>
      </c>
    </row>
    <row r="291" spans="1:16" x14ac:dyDescent="0.45">
      <c r="A291" t="s">
        <v>1410</v>
      </c>
      <c r="B291">
        <v>59</v>
      </c>
      <c r="C291" t="s">
        <v>48</v>
      </c>
      <c r="D291" t="s">
        <v>67</v>
      </c>
      <c r="E291">
        <v>920.05</v>
      </c>
      <c r="F291">
        <v>606.16999999999996</v>
      </c>
      <c r="G291" t="s">
        <v>19</v>
      </c>
      <c r="H291" s="1">
        <v>45029</v>
      </c>
      <c r="I291" s="1">
        <v>45650</v>
      </c>
      <c r="J291" t="s">
        <v>1411</v>
      </c>
      <c r="K291" t="s">
        <v>21</v>
      </c>
      <c r="L291" t="s">
        <v>22</v>
      </c>
      <c r="M291">
        <v>0.55000000000000004</v>
      </c>
      <c r="N291" t="s">
        <v>1412</v>
      </c>
      <c r="O291">
        <f>61-7-5753-9575</f>
        <v>-15274</v>
      </c>
      <c r="P291" t="s">
        <v>1413</v>
      </c>
    </row>
    <row r="292" spans="1:16" x14ac:dyDescent="0.45">
      <c r="A292" t="s">
        <v>1414</v>
      </c>
      <c r="B292">
        <v>25</v>
      </c>
      <c r="C292" t="s">
        <v>40</v>
      </c>
      <c r="D292" t="s">
        <v>18</v>
      </c>
      <c r="E292">
        <v>4516.21</v>
      </c>
      <c r="F292">
        <v>3995.78</v>
      </c>
      <c r="G292" t="s">
        <v>19</v>
      </c>
      <c r="H292" s="1">
        <v>44925</v>
      </c>
      <c r="I292" s="1">
        <v>45046</v>
      </c>
      <c r="J292" t="s">
        <v>1415</v>
      </c>
      <c r="K292" t="s">
        <v>28</v>
      </c>
      <c r="L292" t="s">
        <v>43</v>
      </c>
      <c r="M292">
        <v>0.41</v>
      </c>
      <c r="N292" t="s">
        <v>1416</v>
      </c>
      <c r="O292" t="s">
        <v>1417</v>
      </c>
      <c r="P292" t="s">
        <v>1418</v>
      </c>
    </row>
    <row r="293" spans="1:16" x14ac:dyDescent="0.45">
      <c r="A293" t="s">
        <v>1419</v>
      </c>
      <c r="B293">
        <v>27</v>
      </c>
      <c r="C293" t="s">
        <v>55</v>
      </c>
      <c r="D293" t="s">
        <v>84</v>
      </c>
      <c r="E293">
        <v>2052.48</v>
      </c>
      <c r="F293">
        <v>12885.84</v>
      </c>
      <c r="G293" t="s">
        <v>104</v>
      </c>
      <c r="H293" s="1">
        <v>45153</v>
      </c>
      <c r="I293" s="1">
        <v>45726</v>
      </c>
      <c r="J293" t="s">
        <v>1420</v>
      </c>
      <c r="K293" t="s">
        <v>50</v>
      </c>
      <c r="L293" t="s">
        <v>36</v>
      </c>
      <c r="M293">
        <v>0.45</v>
      </c>
      <c r="N293" t="s">
        <v>1421</v>
      </c>
      <c r="O293" t="s">
        <v>1422</v>
      </c>
      <c r="P293" t="s">
        <v>1423</v>
      </c>
    </row>
    <row r="294" spans="1:16" x14ac:dyDescent="0.45">
      <c r="A294" t="s">
        <v>1424</v>
      </c>
      <c r="B294">
        <v>22</v>
      </c>
      <c r="C294" t="s">
        <v>40</v>
      </c>
      <c r="D294" t="s">
        <v>84</v>
      </c>
      <c r="E294">
        <v>567.36</v>
      </c>
      <c r="F294">
        <v>14414.35</v>
      </c>
      <c r="G294" t="s">
        <v>19</v>
      </c>
      <c r="H294" s="1">
        <v>44878</v>
      </c>
      <c r="I294" s="1">
        <v>44909</v>
      </c>
      <c r="J294" t="s">
        <v>1425</v>
      </c>
      <c r="K294" t="s">
        <v>28</v>
      </c>
      <c r="L294" t="s">
        <v>36</v>
      </c>
      <c r="M294">
        <v>0.34</v>
      </c>
      <c r="N294" t="s">
        <v>1426</v>
      </c>
      <c r="O294" t="s">
        <v>1427</v>
      </c>
      <c r="P294" t="s">
        <v>1428</v>
      </c>
    </row>
    <row r="295" spans="1:16" x14ac:dyDescent="0.45">
      <c r="A295" t="s">
        <v>1429</v>
      </c>
      <c r="B295">
        <v>49</v>
      </c>
      <c r="C295" t="s">
        <v>32</v>
      </c>
      <c r="D295" t="s">
        <v>67</v>
      </c>
      <c r="E295">
        <v>1899.69</v>
      </c>
      <c r="F295">
        <v>19430.64</v>
      </c>
      <c r="G295" t="s">
        <v>85</v>
      </c>
      <c r="H295" s="1">
        <v>45430</v>
      </c>
      <c r="I295" s="1">
        <v>45562</v>
      </c>
      <c r="J295" t="s">
        <v>1430</v>
      </c>
      <c r="K295" t="s">
        <v>35</v>
      </c>
      <c r="L295" t="s">
        <v>22</v>
      </c>
      <c r="M295">
        <v>0.42</v>
      </c>
      <c r="N295" t="s">
        <v>1431</v>
      </c>
      <c r="O295" t="s">
        <v>1432</v>
      </c>
      <c r="P295" t="s">
        <v>1433</v>
      </c>
    </row>
    <row r="296" spans="1:16" x14ac:dyDescent="0.45">
      <c r="A296" t="s">
        <v>1434</v>
      </c>
      <c r="B296">
        <v>63</v>
      </c>
      <c r="C296" t="s">
        <v>66</v>
      </c>
      <c r="D296" t="s">
        <v>18</v>
      </c>
      <c r="E296">
        <v>4248.4799999999996</v>
      </c>
      <c r="F296">
        <v>16682.830000000002</v>
      </c>
      <c r="G296" t="s">
        <v>19</v>
      </c>
      <c r="H296" s="1">
        <v>45484</v>
      </c>
      <c r="I296" s="1">
        <v>45778</v>
      </c>
      <c r="J296" t="s">
        <v>1435</v>
      </c>
      <c r="K296" t="s">
        <v>50</v>
      </c>
      <c r="L296" t="s">
        <v>43</v>
      </c>
      <c r="M296">
        <v>0</v>
      </c>
      <c r="N296" t="s">
        <v>1436</v>
      </c>
      <c r="O296" t="s">
        <v>1437</v>
      </c>
      <c r="P296" t="s">
        <v>1438</v>
      </c>
    </row>
    <row r="297" spans="1:16" x14ac:dyDescent="0.45">
      <c r="A297" t="s">
        <v>1439</v>
      </c>
      <c r="B297">
        <v>49</v>
      </c>
      <c r="C297" t="s">
        <v>83</v>
      </c>
      <c r="D297" t="s">
        <v>67</v>
      </c>
      <c r="E297">
        <v>1879.05</v>
      </c>
      <c r="F297">
        <v>3471.91</v>
      </c>
      <c r="G297" t="s">
        <v>19</v>
      </c>
      <c r="H297" s="1">
        <v>45020</v>
      </c>
      <c r="I297" s="1">
        <v>45738</v>
      </c>
      <c r="J297" t="s">
        <v>1440</v>
      </c>
      <c r="K297" t="s">
        <v>21</v>
      </c>
      <c r="L297" t="s">
        <v>43</v>
      </c>
      <c r="M297">
        <v>0.02</v>
      </c>
      <c r="N297" t="s">
        <v>1441</v>
      </c>
      <c r="O297" t="s">
        <v>1442</v>
      </c>
      <c r="P297" t="s">
        <v>1443</v>
      </c>
    </row>
    <row r="298" spans="1:16" x14ac:dyDescent="0.45">
      <c r="A298" t="s">
        <v>1444</v>
      </c>
      <c r="B298">
        <v>45</v>
      </c>
      <c r="C298" t="s">
        <v>83</v>
      </c>
      <c r="D298" t="s">
        <v>67</v>
      </c>
      <c r="E298">
        <v>1933.34</v>
      </c>
      <c r="F298">
        <v>5589.56</v>
      </c>
      <c r="G298" t="s">
        <v>19</v>
      </c>
      <c r="H298" s="1">
        <v>45149</v>
      </c>
      <c r="I298" s="1">
        <v>45361</v>
      </c>
      <c r="J298" t="s">
        <v>1445</v>
      </c>
      <c r="K298" t="s">
        <v>35</v>
      </c>
      <c r="L298" t="s">
        <v>43</v>
      </c>
      <c r="M298">
        <v>0.77</v>
      </c>
      <c r="N298" t="s">
        <v>1446</v>
      </c>
      <c r="O298" t="s">
        <v>1447</v>
      </c>
      <c r="P298" t="s">
        <v>1448</v>
      </c>
    </row>
    <row r="299" spans="1:16" x14ac:dyDescent="0.45">
      <c r="A299" t="s">
        <v>1449</v>
      </c>
      <c r="B299">
        <v>39</v>
      </c>
      <c r="C299" t="s">
        <v>48</v>
      </c>
      <c r="D299" t="s">
        <v>84</v>
      </c>
      <c r="E299">
        <v>971.91</v>
      </c>
      <c r="F299">
        <v>12320.5</v>
      </c>
      <c r="G299" t="s">
        <v>19</v>
      </c>
      <c r="H299" s="1">
        <v>45458</v>
      </c>
      <c r="I299" s="1">
        <v>45774</v>
      </c>
      <c r="J299" t="s">
        <v>1450</v>
      </c>
      <c r="K299" t="s">
        <v>50</v>
      </c>
      <c r="L299" t="s">
        <v>43</v>
      </c>
      <c r="M299">
        <v>0.54</v>
      </c>
      <c r="N299" t="s">
        <v>1451</v>
      </c>
      <c r="O299">
        <v>61222143008</v>
      </c>
      <c r="P299" t="s">
        <v>1452</v>
      </c>
    </row>
    <row r="300" spans="1:16" x14ac:dyDescent="0.45">
      <c r="A300" t="s">
        <v>1453</v>
      </c>
      <c r="B300">
        <v>55</v>
      </c>
      <c r="C300" t="s">
        <v>66</v>
      </c>
      <c r="D300" t="s">
        <v>33</v>
      </c>
      <c r="E300">
        <v>1664.54</v>
      </c>
      <c r="F300">
        <v>846.2</v>
      </c>
      <c r="G300" t="s">
        <v>19</v>
      </c>
      <c r="H300" s="1">
        <v>44802</v>
      </c>
      <c r="I300" s="1">
        <v>45777</v>
      </c>
      <c r="J300" t="s">
        <v>1454</v>
      </c>
      <c r="K300" t="s">
        <v>50</v>
      </c>
      <c r="L300" t="s">
        <v>36</v>
      </c>
      <c r="M300">
        <v>0.56000000000000005</v>
      </c>
      <c r="N300" t="s">
        <v>1455</v>
      </c>
      <c r="O300" t="s">
        <v>1456</v>
      </c>
      <c r="P300" t="s">
        <v>1457</v>
      </c>
    </row>
    <row r="301" spans="1:16" x14ac:dyDescent="0.45">
      <c r="A301" t="s">
        <v>1458</v>
      </c>
      <c r="B301">
        <v>35</v>
      </c>
      <c r="C301" t="s">
        <v>48</v>
      </c>
      <c r="D301" t="s">
        <v>84</v>
      </c>
      <c r="E301">
        <v>4060.45</v>
      </c>
      <c r="F301">
        <v>4489.66</v>
      </c>
      <c r="G301" t="s">
        <v>19</v>
      </c>
      <c r="H301" s="1">
        <v>44815</v>
      </c>
      <c r="I301" s="1">
        <v>45751</v>
      </c>
      <c r="J301" t="s">
        <v>1459</v>
      </c>
      <c r="K301" t="s">
        <v>35</v>
      </c>
      <c r="L301" t="s">
        <v>43</v>
      </c>
      <c r="M301">
        <v>0.57999999999999996</v>
      </c>
      <c r="N301" t="s">
        <v>1460</v>
      </c>
      <c r="O301" t="s">
        <v>1461</v>
      </c>
      <c r="P301" t="s">
        <v>1462</v>
      </c>
    </row>
    <row r="302" spans="1:16" x14ac:dyDescent="0.45">
      <c r="A302" t="s">
        <v>1463</v>
      </c>
      <c r="B302">
        <v>26</v>
      </c>
      <c r="C302" t="s">
        <v>26</v>
      </c>
      <c r="D302" t="s">
        <v>33</v>
      </c>
      <c r="E302">
        <v>3187.36</v>
      </c>
      <c r="F302">
        <v>7151.95</v>
      </c>
      <c r="G302" t="s">
        <v>19</v>
      </c>
      <c r="H302" s="1">
        <v>45407</v>
      </c>
      <c r="I302" s="1">
        <v>45652</v>
      </c>
      <c r="J302" t="s">
        <v>1464</v>
      </c>
      <c r="K302" t="s">
        <v>21</v>
      </c>
      <c r="L302" t="s">
        <v>22</v>
      </c>
      <c r="M302">
        <v>0.28999999999999998</v>
      </c>
      <c r="N302" t="s">
        <v>1465</v>
      </c>
      <c r="O302" t="s">
        <v>1466</v>
      </c>
      <c r="P302" t="s">
        <v>1467</v>
      </c>
    </row>
    <row r="303" spans="1:16" x14ac:dyDescent="0.45">
      <c r="A303" t="s">
        <v>1468</v>
      </c>
      <c r="B303">
        <v>55</v>
      </c>
      <c r="C303" t="s">
        <v>48</v>
      </c>
      <c r="D303" t="s">
        <v>67</v>
      </c>
      <c r="E303">
        <v>1389.9</v>
      </c>
      <c r="F303">
        <v>9077.31</v>
      </c>
      <c r="G303" t="s">
        <v>19</v>
      </c>
      <c r="H303" s="1">
        <v>45161</v>
      </c>
      <c r="I303" s="1">
        <v>45371</v>
      </c>
      <c r="J303" t="s">
        <v>1469</v>
      </c>
      <c r="K303" t="s">
        <v>35</v>
      </c>
      <c r="L303" t="s">
        <v>43</v>
      </c>
      <c r="M303">
        <v>0.26</v>
      </c>
      <c r="N303" t="s">
        <v>1470</v>
      </c>
      <c r="O303" t="s">
        <v>1471</v>
      </c>
      <c r="P303" t="s">
        <v>1472</v>
      </c>
    </row>
    <row r="304" spans="1:16" x14ac:dyDescent="0.45">
      <c r="A304" t="s">
        <v>1473</v>
      </c>
      <c r="B304">
        <v>71</v>
      </c>
      <c r="C304" t="s">
        <v>17</v>
      </c>
      <c r="D304" t="s">
        <v>41</v>
      </c>
      <c r="E304">
        <v>575.19000000000005</v>
      </c>
      <c r="F304">
        <v>71.430000000000007</v>
      </c>
      <c r="G304" t="s">
        <v>19</v>
      </c>
      <c r="H304" s="1">
        <v>45190</v>
      </c>
      <c r="I304" s="1">
        <v>45653</v>
      </c>
      <c r="J304" t="s">
        <v>1474</v>
      </c>
      <c r="K304" t="s">
        <v>21</v>
      </c>
      <c r="L304" t="s">
        <v>36</v>
      </c>
      <c r="M304">
        <v>0.98</v>
      </c>
      <c r="N304" t="s">
        <v>1475</v>
      </c>
      <c r="O304">
        <f>61-433-690-623</f>
        <v>-1685</v>
      </c>
      <c r="P304" t="s">
        <v>1476</v>
      </c>
    </row>
    <row r="305" spans="1:16" x14ac:dyDescent="0.45">
      <c r="A305" t="s">
        <v>1477</v>
      </c>
      <c r="B305">
        <v>55</v>
      </c>
      <c r="C305" t="s">
        <v>32</v>
      </c>
      <c r="D305" t="s">
        <v>33</v>
      </c>
      <c r="E305">
        <v>1781.5</v>
      </c>
      <c r="F305">
        <v>17498.22</v>
      </c>
      <c r="G305" t="s">
        <v>85</v>
      </c>
      <c r="H305" s="1">
        <v>44842</v>
      </c>
      <c r="I305" s="1">
        <v>45845</v>
      </c>
      <c r="J305" t="s">
        <v>1478</v>
      </c>
      <c r="K305" t="s">
        <v>50</v>
      </c>
      <c r="L305" t="s">
        <v>43</v>
      </c>
      <c r="M305">
        <v>0.11</v>
      </c>
      <c r="N305" t="s">
        <v>1479</v>
      </c>
      <c r="O305">
        <f>61-452-419-69</f>
        <v>-879</v>
      </c>
      <c r="P305" t="s">
        <v>1480</v>
      </c>
    </row>
    <row r="306" spans="1:16" x14ac:dyDescent="0.45">
      <c r="A306" t="s">
        <v>1481</v>
      </c>
      <c r="B306">
        <v>30</v>
      </c>
      <c r="C306" t="s">
        <v>26</v>
      </c>
      <c r="D306" t="s">
        <v>18</v>
      </c>
      <c r="E306">
        <v>2065.08</v>
      </c>
      <c r="F306">
        <v>17723.87</v>
      </c>
      <c r="G306" t="s">
        <v>104</v>
      </c>
      <c r="H306" s="1">
        <v>44967</v>
      </c>
      <c r="I306" s="1">
        <v>45729</v>
      </c>
      <c r="J306" t="s">
        <v>1482</v>
      </c>
      <c r="K306" t="s">
        <v>50</v>
      </c>
      <c r="L306" t="s">
        <v>22</v>
      </c>
      <c r="M306">
        <v>0.23</v>
      </c>
      <c r="N306" t="s">
        <v>1483</v>
      </c>
      <c r="O306">
        <f>61-457-455-908</f>
        <v>-1759</v>
      </c>
      <c r="P306" t="s">
        <v>1484</v>
      </c>
    </row>
    <row r="307" spans="1:16" x14ac:dyDescent="0.45">
      <c r="A307" t="s">
        <v>1485</v>
      </c>
      <c r="B307">
        <v>73</v>
      </c>
      <c r="C307" t="s">
        <v>55</v>
      </c>
      <c r="D307" t="s">
        <v>84</v>
      </c>
      <c r="E307">
        <v>2176.94</v>
      </c>
      <c r="F307">
        <v>12735.22</v>
      </c>
      <c r="G307" t="s">
        <v>85</v>
      </c>
      <c r="H307" s="1">
        <v>45435</v>
      </c>
      <c r="I307" s="1">
        <v>45639</v>
      </c>
      <c r="J307" t="s">
        <v>1486</v>
      </c>
      <c r="K307" t="s">
        <v>35</v>
      </c>
      <c r="L307" t="s">
        <v>36</v>
      </c>
      <c r="M307">
        <v>0.09</v>
      </c>
      <c r="N307" t="s">
        <v>1487</v>
      </c>
      <c r="O307" t="s">
        <v>1488</v>
      </c>
      <c r="P307" t="s">
        <v>1489</v>
      </c>
    </row>
    <row r="308" spans="1:16" x14ac:dyDescent="0.45">
      <c r="A308" t="s">
        <v>1490</v>
      </c>
      <c r="B308">
        <v>72</v>
      </c>
      <c r="C308" t="s">
        <v>26</v>
      </c>
      <c r="D308" t="s">
        <v>41</v>
      </c>
      <c r="E308">
        <v>684.69</v>
      </c>
      <c r="F308">
        <v>15696.73</v>
      </c>
      <c r="G308" t="s">
        <v>85</v>
      </c>
      <c r="H308" s="1">
        <v>45353</v>
      </c>
      <c r="I308" s="1">
        <v>45651</v>
      </c>
      <c r="J308" t="s">
        <v>1491</v>
      </c>
      <c r="K308" t="s">
        <v>50</v>
      </c>
      <c r="L308" t="s">
        <v>43</v>
      </c>
      <c r="M308">
        <v>0.45</v>
      </c>
      <c r="N308" t="s">
        <v>1492</v>
      </c>
      <c r="O308" t="s">
        <v>1493</v>
      </c>
      <c r="P308" t="s">
        <v>1494</v>
      </c>
    </row>
    <row r="309" spans="1:16" x14ac:dyDescent="0.45">
      <c r="A309" t="s">
        <v>1495</v>
      </c>
      <c r="B309">
        <v>57</v>
      </c>
      <c r="C309" t="s">
        <v>83</v>
      </c>
      <c r="D309" t="s">
        <v>84</v>
      </c>
      <c r="E309">
        <v>2826.05</v>
      </c>
      <c r="F309">
        <v>5182.04</v>
      </c>
      <c r="G309" t="s">
        <v>85</v>
      </c>
      <c r="H309" s="1">
        <v>44825</v>
      </c>
      <c r="I309" s="1">
        <v>45643</v>
      </c>
      <c r="J309" t="s">
        <v>1496</v>
      </c>
      <c r="K309" t="s">
        <v>21</v>
      </c>
      <c r="L309" t="s">
        <v>22</v>
      </c>
      <c r="M309">
        <v>0.84</v>
      </c>
      <c r="N309" t="s">
        <v>1497</v>
      </c>
      <c r="O309" t="s">
        <v>1498</v>
      </c>
      <c r="P309" t="s">
        <v>1499</v>
      </c>
    </row>
    <row r="310" spans="1:16" x14ac:dyDescent="0.45">
      <c r="A310" t="s">
        <v>1500</v>
      </c>
      <c r="B310">
        <v>70</v>
      </c>
      <c r="C310" t="s">
        <v>55</v>
      </c>
      <c r="D310" t="s">
        <v>41</v>
      </c>
      <c r="E310">
        <v>1111.3399999999999</v>
      </c>
      <c r="F310">
        <v>12052.94</v>
      </c>
      <c r="G310" t="s">
        <v>19</v>
      </c>
      <c r="H310" s="1">
        <v>44866</v>
      </c>
      <c r="I310" s="1">
        <v>45349</v>
      </c>
      <c r="J310" t="s">
        <v>1501</v>
      </c>
      <c r="K310" t="s">
        <v>21</v>
      </c>
      <c r="L310" t="s">
        <v>36</v>
      </c>
      <c r="M310">
        <v>0.85</v>
      </c>
      <c r="N310" t="s">
        <v>1502</v>
      </c>
      <c r="O310">
        <v>73185592</v>
      </c>
      <c r="P310" t="s">
        <v>1503</v>
      </c>
    </row>
    <row r="311" spans="1:16" x14ac:dyDescent="0.45">
      <c r="A311" t="s">
        <v>1504</v>
      </c>
      <c r="B311">
        <v>34</v>
      </c>
      <c r="C311" t="s">
        <v>48</v>
      </c>
      <c r="D311" t="s">
        <v>41</v>
      </c>
      <c r="E311">
        <v>4756.75</v>
      </c>
      <c r="F311">
        <v>12716.15</v>
      </c>
      <c r="G311" t="s">
        <v>85</v>
      </c>
      <c r="H311" s="1">
        <v>45169</v>
      </c>
      <c r="I311" s="1">
        <v>45766</v>
      </c>
      <c r="J311" t="s">
        <v>1505</v>
      </c>
      <c r="K311" t="s">
        <v>50</v>
      </c>
      <c r="L311" t="s">
        <v>22</v>
      </c>
      <c r="M311">
        <v>0.47</v>
      </c>
      <c r="N311" t="s">
        <v>1506</v>
      </c>
      <c r="O311" t="s">
        <v>1507</v>
      </c>
      <c r="P311" t="s">
        <v>1508</v>
      </c>
    </row>
    <row r="312" spans="1:16" x14ac:dyDescent="0.45">
      <c r="A312" t="s">
        <v>1509</v>
      </c>
      <c r="B312">
        <v>56</v>
      </c>
      <c r="C312" t="s">
        <v>66</v>
      </c>
      <c r="D312" t="s">
        <v>18</v>
      </c>
      <c r="E312">
        <v>1378.73</v>
      </c>
      <c r="F312">
        <v>17485.98</v>
      </c>
      <c r="G312" t="s">
        <v>19</v>
      </c>
      <c r="H312" s="1">
        <v>45241</v>
      </c>
      <c r="I312" s="1">
        <v>45372</v>
      </c>
      <c r="J312" t="s">
        <v>1510</v>
      </c>
      <c r="K312" t="s">
        <v>28</v>
      </c>
      <c r="L312" t="s">
        <v>22</v>
      </c>
      <c r="M312">
        <v>0.99</v>
      </c>
      <c r="N312" t="s">
        <v>1511</v>
      </c>
      <c r="O312" t="s">
        <v>1512</v>
      </c>
      <c r="P312" t="s">
        <v>1513</v>
      </c>
    </row>
    <row r="313" spans="1:16" x14ac:dyDescent="0.45">
      <c r="A313" t="s">
        <v>1514</v>
      </c>
      <c r="B313">
        <v>68</v>
      </c>
      <c r="C313" t="s">
        <v>17</v>
      </c>
      <c r="D313" t="s">
        <v>33</v>
      </c>
      <c r="E313">
        <v>1145.6199999999999</v>
      </c>
      <c r="F313">
        <v>3739.94</v>
      </c>
      <c r="G313" t="s">
        <v>19</v>
      </c>
      <c r="H313" s="1">
        <v>45206</v>
      </c>
      <c r="I313" s="1">
        <v>45411</v>
      </c>
      <c r="J313" t="s">
        <v>1515</v>
      </c>
      <c r="K313" t="s">
        <v>21</v>
      </c>
      <c r="L313" t="s">
        <v>43</v>
      </c>
      <c r="M313">
        <v>0.99</v>
      </c>
      <c r="N313" t="s">
        <v>1516</v>
      </c>
      <c r="O313" t="s">
        <v>1517</v>
      </c>
      <c r="P313" t="s">
        <v>1518</v>
      </c>
    </row>
    <row r="314" spans="1:16" x14ac:dyDescent="0.45">
      <c r="A314" t="s">
        <v>1519</v>
      </c>
      <c r="B314">
        <v>35</v>
      </c>
      <c r="C314" t="s">
        <v>83</v>
      </c>
      <c r="D314" t="s">
        <v>41</v>
      </c>
      <c r="E314">
        <v>1370.32</v>
      </c>
      <c r="F314">
        <v>16156.14</v>
      </c>
      <c r="G314" t="s">
        <v>19</v>
      </c>
      <c r="H314" s="1">
        <v>44836</v>
      </c>
      <c r="I314" s="1">
        <v>45281</v>
      </c>
      <c r="J314" t="s">
        <v>1520</v>
      </c>
      <c r="K314" t="s">
        <v>28</v>
      </c>
      <c r="L314" t="s">
        <v>36</v>
      </c>
      <c r="M314">
        <v>0.87</v>
      </c>
      <c r="N314" t="s">
        <v>1521</v>
      </c>
      <c r="O314" t="s">
        <v>1522</v>
      </c>
      <c r="P314" t="s">
        <v>1523</v>
      </c>
    </row>
    <row r="315" spans="1:16" x14ac:dyDescent="0.45">
      <c r="A315" t="s">
        <v>1524</v>
      </c>
      <c r="B315">
        <v>19</v>
      </c>
      <c r="C315" t="s">
        <v>17</v>
      </c>
      <c r="D315" t="s">
        <v>41</v>
      </c>
      <c r="E315">
        <v>2013.89</v>
      </c>
      <c r="F315">
        <v>7191.21</v>
      </c>
      <c r="G315" t="s">
        <v>85</v>
      </c>
      <c r="H315" s="1">
        <v>45268</v>
      </c>
      <c r="I315" s="1">
        <v>45864</v>
      </c>
      <c r="J315" t="s">
        <v>1525</v>
      </c>
      <c r="K315" t="s">
        <v>21</v>
      </c>
      <c r="L315" t="s">
        <v>43</v>
      </c>
      <c r="M315">
        <v>0.59</v>
      </c>
      <c r="N315" t="s">
        <v>1526</v>
      </c>
      <c r="O315" t="s">
        <v>1527</v>
      </c>
      <c r="P315" t="s">
        <v>1528</v>
      </c>
    </row>
    <row r="316" spans="1:16" x14ac:dyDescent="0.45">
      <c r="A316" t="s">
        <v>1529</v>
      </c>
      <c r="B316">
        <v>62</v>
      </c>
      <c r="C316" t="s">
        <v>17</v>
      </c>
      <c r="D316" t="s">
        <v>67</v>
      </c>
      <c r="E316">
        <v>3858.9</v>
      </c>
      <c r="F316">
        <v>18848.400000000001</v>
      </c>
      <c r="G316" t="s">
        <v>85</v>
      </c>
      <c r="H316" s="1">
        <v>45179</v>
      </c>
      <c r="I316" s="1">
        <v>45436</v>
      </c>
      <c r="J316" t="s">
        <v>1530</v>
      </c>
      <c r="K316" t="s">
        <v>35</v>
      </c>
      <c r="L316" t="s">
        <v>43</v>
      </c>
      <c r="M316">
        <v>0.66</v>
      </c>
      <c r="N316" t="s">
        <v>1531</v>
      </c>
      <c r="O316">
        <f>61-435-793-320</f>
        <v>-1487</v>
      </c>
      <c r="P316" t="s">
        <v>1532</v>
      </c>
    </row>
    <row r="317" spans="1:16" x14ac:dyDescent="0.45">
      <c r="A317" t="s">
        <v>1533</v>
      </c>
      <c r="B317">
        <v>22</v>
      </c>
      <c r="C317" t="s">
        <v>32</v>
      </c>
      <c r="D317" t="s">
        <v>33</v>
      </c>
      <c r="E317">
        <v>3237.07</v>
      </c>
      <c r="F317">
        <v>13552.93</v>
      </c>
      <c r="G317" t="s">
        <v>19</v>
      </c>
      <c r="H317" s="1">
        <v>45339</v>
      </c>
      <c r="I317" s="1">
        <v>45691</v>
      </c>
      <c r="J317" t="s">
        <v>1534</v>
      </c>
      <c r="K317" t="s">
        <v>35</v>
      </c>
      <c r="L317" t="s">
        <v>43</v>
      </c>
      <c r="M317">
        <v>0.14000000000000001</v>
      </c>
      <c r="N317" t="s">
        <v>1535</v>
      </c>
      <c r="O317">
        <f>61-422-891-985</f>
        <v>-2237</v>
      </c>
      <c r="P317" t="s">
        <v>1536</v>
      </c>
    </row>
    <row r="318" spans="1:16" x14ac:dyDescent="0.45">
      <c r="A318" t="s">
        <v>1537</v>
      </c>
      <c r="B318">
        <v>65</v>
      </c>
      <c r="C318" t="s">
        <v>32</v>
      </c>
      <c r="D318" t="s">
        <v>67</v>
      </c>
      <c r="E318">
        <v>1495.11</v>
      </c>
      <c r="F318">
        <v>15973.73</v>
      </c>
      <c r="G318" t="s">
        <v>19</v>
      </c>
      <c r="H318" s="1">
        <v>45247</v>
      </c>
      <c r="I318" s="1">
        <v>45734</v>
      </c>
      <c r="J318" t="s">
        <v>1538</v>
      </c>
      <c r="K318" t="s">
        <v>50</v>
      </c>
      <c r="L318" t="s">
        <v>22</v>
      </c>
      <c r="M318">
        <v>1</v>
      </c>
      <c r="N318" t="s">
        <v>1539</v>
      </c>
      <c r="O318" t="s">
        <v>1540</v>
      </c>
      <c r="P318" t="s">
        <v>1541</v>
      </c>
    </row>
    <row r="319" spans="1:16" x14ac:dyDescent="0.45">
      <c r="A319" t="s">
        <v>1542</v>
      </c>
      <c r="B319">
        <v>25</v>
      </c>
      <c r="C319" t="s">
        <v>17</v>
      </c>
      <c r="D319" t="s">
        <v>41</v>
      </c>
      <c r="E319">
        <v>4228.93</v>
      </c>
      <c r="F319">
        <v>15153.85</v>
      </c>
      <c r="G319" t="s">
        <v>85</v>
      </c>
      <c r="H319" s="1">
        <v>45485</v>
      </c>
      <c r="I319" s="1">
        <v>45839</v>
      </c>
      <c r="J319" t="s">
        <v>1543</v>
      </c>
      <c r="K319" t="s">
        <v>50</v>
      </c>
      <c r="L319" t="s">
        <v>22</v>
      </c>
      <c r="M319">
        <v>0.04</v>
      </c>
      <c r="N319" t="s">
        <v>1544</v>
      </c>
      <c r="O319" t="s">
        <v>1545</v>
      </c>
      <c r="P319" t="s">
        <v>1546</v>
      </c>
    </row>
    <row r="320" spans="1:16" x14ac:dyDescent="0.45">
      <c r="A320" t="s">
        <v>1547</v>
      </c>
      <c r="B320">
        <v>74</v>
      </c>
      <c r="C320" t="s">
        <v>40</v>
      </c>
      <c r="D320" t="s">
        <v>41</v>
      </c>
      <c r="E320">
        <v>4666.26</v>
      </c>
      <c r="F320">
        <v>10226.51</v>
      </c>
      <c r="G320" t="s">
        <v>19</v>
      </c>
      <c r="H320" s="1">
        <v>45377</v>
      </c>
      <c r="I320" s="1">
        <v>45546</v>
      </c>
      <c r="J320" t="s">
        <v>1548</v>
      </c>
      <c r="K320" t="s">
        <v>35</v>
      </c>
      <c r="L320" t="s">
        <v>22</v>
      </c>
      <c r="M320">
        <v>0.6</v>
      </c>
      <c r="N320" t="s">
        <v>1549</v>
      </c>
      <c r="O320">
        <v>4186.2592000000004</v>
      </c>
      <c r="P320" t="s">
        <v>1550</v>
      </c>
    </row>
    <row r="321" spans="1:16" x14ac:dyDescent="0.45">
      <c r="A321" t="s">
        <v>1551</v>
      </c>
      <c r="B321">
        <v>66</v>
      </c>
      <c r="C321" t="s">
        <v>40</v>
      </c>
      <c r="D321" t="s">
        <v>84</v>
      </c>
      <c r="E321">
        <v>2858.61</v>
      </c>
      <c r="F321">
        <v>17758.060000000001</v>
      </c>
      <c r="G321" t="s">
        <v>19</v>
      </c>
      <c r="H321" s="1">
        <v>44791</v>
      </c>
      <c r="I321" s="1">
        <v>45279</v>
      </c>
      <c r="J321" t="s">
        <v>1552</v>
      </c>
      <c r="K321" t="s">
        <v>50</v>
      </c>
      <c r="L321" t="s">
        <v>22</v>
      </c>
      <c r="M321">
        <v>0.56000000000000005</v>
      </c>
      <c r="N321" t="s">
        <v>1553</v>
      </c>
      <c r="O321">
        <v>714605182</v>
      </c>
      <c r="P321" t="s">
        <v>1554</v>
      </c>
    </row>
    <row r="322" spans="1:16" x14ac:dyDescent="0.45">
      <c r="A322" t="s">
        <v>1555</v>
      </c>
      <c r="B322">
        <v>44</v>
      </c>
      <c r="C322" t="s">
        <v>40</v>
      </c>
      <c r="D322" t="s">
        <v>33</v>
      </c>
      <c r="E322">
        <v>3657.4</v>
      </c>
      <c r="F322">
        <v>18742.71</v>
      </c>
      <c r="G322" t="s">
        <v>19</v>
      </c>
      <c r="H322" s="1">
        <v>45311</v>
      </c>
      <c r="I322" s="1">
        <v>45514</v>
      </c>
      <c r="J322" t="s">
        <v>1556</v>
      </c>
      <c r="K322" t="s">
        <v>50</v>
      </c>
      <c r="L322" t="s">
        <v>22</v>
      </c>
      <c r="M322">
        <v>0.53</v>
      </c>
      <c r="N322" t="s">
        <v>1557</v>
      </c>
      <c r="O322" t="s">
        <v>1558</v>
      </c>
      <c r="P322" t="s">
        <v>1559</v>
      </c>
    </row>
    <row r="323" spans="1:16" x14ac:dyDescent="0.45">
      <c r="A323" t="s">
        <v>1560</v>
      </c>
      <c r="B323">
        <v>21</v>
      </c>
      <c r="C323" t="s">
        <v>55</v>
      </c>
      <c r="D323" t="s">
        <v>84</v>
      </c>
      <c r="E323">
        <v>3867.01</v>
      </c>
      <c r="F323">
        <v>16187.06</v>
      </c>
      <c r="G323" t="s">
        <v>104</v>
      </c>
      <c r="H323" s="1">
        <v>45152</v>
      </c>
      <c r="I323" s="1">
        <v>45220</v>
      </c>
      <c r="J323" t="s">
        <v>1561</v>
      </c>
      <c r="K323" t="s">
        <v>35</v>
      </c>
      <c r="L323" t="s">
        <v>36</v>
      </c>
      <c r="M323">
        <v>0.83</v>
      </c>
      <c r="N323" t="s">
        <v>1562</v>
      </c>
      <c r="O323" t="s">
        <v>1563</v>
      </c>
      <c r="P323" t="s">
        <v>1564</v>
      </c>
    </row>
    <row r="324" spans="1:16" x14ac:dyDescent="0.45">
      <c r="A324" t="s">
        <v>1565</v>
      </c>
      <c r="B324">
        <v>58</v>
      </c>
      <c r="C324" t="s">
        <v>26</v>
      </c>
      <c r="D324" t="s">
        <v>41</v>
      </c>
      <c r="E324">
        <v>2016.02</v>
      </c>
      <c r="F324">
        <v>4593.1099999999997</v>
      </c>
      <c r="G324" t="s">
        <v>104</v>
      </c>
      <c r="H324" s="1">
        <v>45171</v>
      </c>
      <c r="I324" s="1">
        <v>45565</v>
      </c>
      <c r="J324" t="s">
        <v>1566</v>
      </c>
      <c r="K324" t="s">
        <v>35</v>
      </c>
      <c r="L324" t="s">
        <v>22</v>
      </c>
      <c r="M324">
        <v>0.18</v>
      </c>
      <c r="N324" t="s">
        <v>1567</v>
      </c>
      <c r="O324" t="s">
        <v>1568</v>
      </c>
      <c r="P324" t="s">
        <v>1569</v>
      </c>
    </row>
    <row r="325" spans="1:16" x14ac:dyDescent="0.45">
      <c r="A325" t="s">
        <v>1570</v>
      </c>
      <c r="B325">
        <v>40</v>
      </c>
      <c r="C325" t="s">
        <v>26</v>
      </c>
      <c r="D325" t="s">
        <v>33</v>
      </c>
      <c r="E325">
        <v>4910.8</v>
      </c>
      <c r="F325">
        <v>11107.16</v>
      </c>
      <c r="G325" t="s">
        <v>19</v>
      </c>
      <c r="H325" s="1">
        <v>44793</v>
      </c>
      <c r="I325" s="1">
        <v>45358</v>
      </c>
      <c r="J325" t="s">
        <v>1571</v>
      </c>
      <c r="K325" t="s">
        <v>50</v>
      </c>
      <c r="L325" t="s">
        <v>36</v>
      </c>
      <c r="M325">
        <v>0.42</v>
      </c>
      <c r="N325" t="s">
        <v>1572</v>
      </c>
      <c r="O325" t="s">
        <v>1573</v>
      </c>
      <c r="P325" t="s">
        <v>1574</v>
      </c>
    </row>
    <row r="326" spans="1:16" x14ac:dyDescent="0.45">
      <c r="A326" t="s">
        <v>1575</v>
      </c>
      <c r="B326">
        <v>64</v>
      </c>
      <c r="C326" t="s">
        <v>32</v>
      </c>
      <c r="D326" t="s">
        <v>84</v>
      </c>
      <c r="E326">
        <v>1689.61</v>
      </c>
      <c r="F326">
        <v>7432.5</v>
      </c>
      <c r="G326" t="s">
        <v>19</v>
      </c>
      <c r="H326" s="1">
        <v>44841</v>
      </c>
      <c r="I326" s="1">
        <v>45391</v>
      </c>
      <c r="J326" t="s">
        <v>1576</v>
      </c>
      <c r="K326" t="s">
        <v>21</v>
      </c>
      <c r="L326" t="s">
        <v>43</v>
      </c>
      <c r="M326">
        <v>0.19</v>
      </c>
      <c r="N326" t="s">
        <v>1577</v>
      </c>
      <c r="O326" t="s">
        <v>1578</v>
      </c>
      <c r="P326" t="s">
        <v>1579</v>
      </c>
    </row>
    <row r="327" spans="1:16" x14ac:dyDescent="0.45">
      <c r="A327" t="s">
        <v>1580</v>
      </c>
      <c r="B327">
        <v>34</v>
      </c>
      <c r="C327" t="s">
        <v>55</v>
      </c>
      <c r="D327" t="s">
        <v>33</v>
      </c>
      <c r="E327">
        <v>1948.65</v>
      </c>
      <c r="F327">
        <v>7393.1</v>
      </c>
      <c r="G327" t="s">
        <v>19</v>
      </c>
      <c r="H327" s="1">
        <v>44875</v>
      </c>
      <c r="I327" s="1">
        <v>45678</v>
      </c>
      <c r="J327" t="s">
        <v>1581</v>
      </c>
      <c r="K327" t="s">
        <v>28</v>
      </c>
      <c r="L327" t="s">
        <v>22</v>
      </c>
      <c r="M327">
        <v>0.27</v>
      </c>
      <c r="N327" t="s">
        <v>1582</v>
      </c>
      <c r="O327">
        <f>61-7-7907-4450</f>
        <v>-12303</v>
      </c>
      <c r="P327" t="s">
        <v>1583</v>
      </c>
    </row>
    <row r="328" spans="1:16" x14ac:dyDescent="0.45">
      <c r="A328" t="s">
        <v>1584</v>
      </c>
      <c r="B328">
        <v>47</v>
      </c>
      <c r="C328" t="s">
        <v>66</v>
      </c>
      <c r="D328" t="s">
        <v>33</v>
      </c>
      <c r="E328">
        <v>1665.32</v>
      </c>
      <c r="F328">
        <v>11102.76</v>
      </c>
      <c r="G328" t="s">
        <v>104</v>
      </c>
      <c r="H328" s="1">
        <v>45181</v>
      </c>
      <c r="I328" s="1">
        <v>45486</v>
      </c>
      <c r="J328" t="s">
        <v>1585</v>
      </c>
      <c r="K328" t="s">
        <v>28</v>
      </c>
      <c r="L328" t="s">
        <v>43</v>
      </c>
      <c r="M328">
        <v>0.32</v>
      </c>
      <c r="N328" t="s">
        <v>1586</v>
      </c>
      <c r="O328">
        <f>61-8-1345-6023</f>
        <v>-7315</v>
      </c>
      <c r="P328" t="s">
        <v>1587</v>
      </c>
    </row>
    <row r="329" spans="1:16" x14ac:dyDescent="0.45">
      <c r="A329" t="s">
        <v>1588</v>
      </c>
      <c r="B329">
        <v>67</v>
      </c>
      <c r="C329" t="s">
        <v>55</v>
      </c>
      <c r="D329" t="s">
        <v>33</v>
      </c>
      <c r="E329">
        <v>4574.4799999999996</v>
      </c>
      <c r="F329">
        <v>4865.33</v>
      </c>
      <c r="G329" t="s">
        <v>19</v>
      </c>
      <c r="H329" s="1">
        <v>45502</v>
      </c>
      <c r="I329" s="1">
        <v>45592</v>
      </c>
      <c r="J329" t="s">
        <v>1589</v>
      </c>
      <c r="K329" t="s">
        <v>21</v>
      </c>
      <c r="L329" t="s">
        <v>43</v>
      </c>
      <c r="M329">
        <v>0.85</v>
      </c>
      <c r="N329" t="s">
        <v>1590</v>
      </c>
      <c r="O329" t="s">
        <v>1591</v>
      </c>
      <c r="P329" t="s">
        <v>1592</v>
      </c>
    </row>
    <row r="330" spans="1:16" x14ac:dyDescent="0.45">
      <c r="A330" t="s">
        <v>1593</v>
      </c>
      <c r="B330">
        <v>44</v>
      </c>
      <c r="C330" t="s">
        <v>17</v>
      </c>
      <c r="D330" t="s">
        <v>67</v>
      </c>
      <c r="E330">
        <v>1166.27</v>
      </c>
      <c r="F330">
        <v>1000.95</v>
      </c>
      <c r="G330" t="s">
        <v>104</v>
      </c>
      <c r="H330" s="1">
        <v>45070</v>
      </c>
      <c r="I330" s="1">
        <v>45556</v>
      </c>
      <c r="J330" t="s">
        <v>1594</v>
      </c>
      <c r="K330" t="s">
        <v>21</v>
      </c>
      <c r="L330" t="s">
        <v>36</v>
      </c>
      <c r="M330">
        <v>0.83</v>
      </c>
      <c r="N330" t="s">
        <v>1595</v>
      </c>
      <c r="O330" t="s">
        <v>1596</v>
      </c>
      <c r="P330" t="s">
        <v>1597</v>
      </c>
    </row>
    <row r="331" spans="1:16" x14ac:dyDescent="0.45">
      <c r="A331" t="s">
        <v>1598</v>
      </c>
      <c r="B331">
        <v>46</v>
      </c>
      <c r="C331" t="s">
        <v>17</v>
      </c>
      <c r="D331" t="s">
        <v>41</v>
      </c>
      <c r="E331">
        <v>783.14</v>
      </c>
      <c r="F331">
        <v>8881.8700000000008</v>
      </c>
      <c r="G331" t="s">
        <v>19</v>
      </c>
      <c r="H331" s="1">
        <v>45339</v>
      </c>
      <c r="I331" s="1">
        <v>45761</v>
      </c>
      <c r="J331" t="s">
        <v>1599</v>
      </c>
      <c r="K331" t="s">
        <v>21</v>
      </c>
      <c r="L331" t="s">
        <v>36</v>
      </c>
      <c r="M331">
        <v>0.11</v>
      </c>
      <c r="N331" t="s">
        <v>1600</v>
      </c>
      <c r="O331" t="s">
        <v>1601</v>
      </c>
      <c r="P331" t="s">
        <v>1602</v>
      </c>
    </row>
    <row r="332" spans="1:16" x14ac:dyDescent="0.45">
      <c r="A332" t="s">
        <v>1603</v>
      </c>
      <c r="B332">
        <v>72</v>
      </c>
      <c r="C332" t="s">
        <v>66</v>
      </c>
      <c r="D332" t="s">
        <v>41</v>
      </c>
      <c r="E332">
        <v>2413.44</v>
      </c>
      <c r="F332">
        <v>475.29</v>
      </c>
      <c r="G332" t="s">
        <v>19</v>
      </c>
      <c r="H332" s="1">
        <v>44988</v>
      </c>
      <c r="I332" s="1">
        <v>45748</v>
      </c>
      <c r="J332" t="s">
        <v>1604</v>
      </c>
      <c r="K332" t="s">
        <v>21</v>
      </c>
      <c r="L332" t="s">
        <v>43</v>
      </c>
      <c r="M332">
        <v>0.48</v>
      </c>
      <c r="N332" t="s">
        <v>1605</v>
      </c>
      <c r="O332" t="s">
        <v>1606</v>
      </c>
      <c r="P332" t="s">
        <v>1607</v>
      </c>
    </row>
    <row r="333" spans="1:16" x14ac:dyDescent="0.45">
      <c r="A333" t="s">
        <v>1608</v>
      </c>
      <c r="B333">
        <v>63</v>
      </c>
      <c r="C333" t="s">
        <v>55</v>
      </c>
      <c r="D333" t="s">
        <v>41</v>
      </c>
      <c r="E333">
        <v>4554.2299999999996</v>
      </c>
      <c r="F333">
        <v>8777.11</v>
      </c>
      <c r="G333" t="s">
        <v>19</v>
      </c>
      <c r="H333" s="1">
        <v>45134</v>
      </c>
      <c r="I333" s="1">
        <v>45222</v>
      </c>
      <c r="J333" t="s">
        <v>1609</v>
      </c>
      <c r="K333" t="s">
        <v>35</v>
      </c>
      <c r="L333" t="s">
        <v>36</v>
      </c>
      <c r="M333">
        <v>0.19</v>
      </c>
      <c r="N333" t="s">
        <v>1610</v>
      </c>
      <c r="O333" t="s">
        <v>1611</v>
      </c>
      <c r="P333" t="s">
        <v>1612</v>
      </c>
    </row>
    <row r="334" spans="1:16" x14ac:dyDescent="0.45">
      <c r="A334" t="s">
        <v>1613</v>
      </c>
      <c r="B334">
        <v>26</v>
      </c>
      <c r="C334" t="s">
        <v>66</v>
      </c>
      <c r="D334" t="s">
        <v>18</v>
      </c>
      <c r="E334">
        <v>4198.66</v>
      </c>
      <c r="F334">
        <v>12117.05</v>
      </c>
      <c r="G334" t="s">
        <v>19</v>
      </c>
      <c r="H334" s="1">
        <v>45056</v>
      </c>
      <c r="I334" s="1">
        <v>45608</v>
      </c>
      <c r="J334" t="s">
        <v>1614</v>
      </c>
      <c r="K334" t="s">
        <v>50</v>
      </c>
      <c r="L334" t="s">
        <v>43</v>
      </c>
      <c r="M334">
        <v>0.56000000000000005</v>
      </c>
      <c r="N334" t="s">
        <v>1615</v>
      </c>
      <c r="O334" t="s">
        <v>1616</v>
      </c>
      <c r="P334" t="s">
        <v>1617</v>
      </c>
    </row>
    <row r="335" spans="1:16" x14ac:dyDescent="0.45">
      <c r="A335" t="s">
        <v>1618</v>
      </c>
      <c r="B335">
        <v>24</v>
      </c>
      <c r="C335" t="s">
        <v>26</v>
      </c>
      <c r="D335" t="s">
        <v>18</v>
      </c>
      <c r="E335">
        <v>3658.7</v>
      </c>
      <c r="F335">
        <v>14733.04</v>
      </c>
      <c r="G335" t="s">
        <v>85</v>
      </c>
      <c r="H335" s="1">
        <v>45333</v>
      </c>
      <c r="I335" s="1">
        <v>45833</v>
      </c>
      <c r="J335" t="s">
        <v>1619</v>
      </c>
      <c r="K335" t="s">
        <v>21</v>
      </c>
      <c r="L335" t="s">
        <v>43</v>
      </c>
      <c r="M335">
        <v>0.52</v>
      </c>
      <c r="N335" t="s">
        <v>1620</v>
      </c>
      <c r="O335">
        <v>222400914</v>
      </c>
      <c r="P335" t="s">
        <v>1621</v>
      </c>
    </row>
    <row r="336" spans="1:16" x14ac:dyDescent="0.45">
      <c r="A336" t="s">
        <v>1622</v>
      </c>
      <c r="B336">
        <v>57</v>
      </c>
      <c r="C336" t="s">
        <v>48</v>
      </c>
      <c r="D336" t="s">
        <v>18</v>
      </c>
      <c r="E336">
        <v>4865.3999999999996</v>
      </c>
      <c r="F336">
        <v>5330.15</v>
      </c>
      <c r="G336" t="s">
        <v>19</v>
      </c>
      <c r="H336" s="1">
        <v>44875</v>
      </c>
      <c r="I336" s="1">
        <v>45590</v>
      </c>
      <c r="J336" t="s">
        <v>1623</v>
      </c>
      <c r="K336" t="s">
        <v>21</v>
      </c>
      <c r="L336" t="s">
        <v>36</v>
      </c>
      <c r="M336">
        <v>0.31</v>
      </c>
      <c r="N336" t="s">
        <v>1624</v>
      </c>
      <c r="O336" t="s">
        <v>1625</v>
      </c>
      <c r="P336" t="s">
        <v>1626</v>
      </c>
    </row>
    <row r="337" spans="1:16" x14ac:dyDescent="0.45">
      <c r="A337" t="s">
        <v>1627</v>
      </c>
      <c r="B337">
        <v>27</v>
      </c>
      <c r="C337" t="s">
        <v>17</v>
      </c>
      <c r="D337" t="s">
        <v>41</v>
      </c>
      <c r="E337">
        <v>2616.37</v>
      </c>
      <c r="F337">
        <v>2854.33</v>
      </c>
      <c r="G337" t="s">
        <v>19</v>
      </c>
      <c r="H337" s="1">
        <v>44813</v>
      </c>
      <c r="I337" s="1">
        <v>45222</v>
      </c>
      <c r="J337" t="s">
        <v>1628</v>
      </c>
      <c r="K337" t="s">
        <v>35</v>
      </c>
      <c r="L337" t="s">
        <v>36</v>
      </c>
      <c r="M337">
        <v>0.31</v>
      </c>
      <c r="N337" t="s">
        <v>1629</v>
      </c>
      <c r="O337">
        <v>61877115523</v>
      </c>
      <c r="P337" t="s">
        <v>1630</v>
      </c>
    </row>
    <row r="338" spans="1:16" x14ac:dyDescent="0.45">
      <c r="A338" t="s">
        <v>1631</v>
      </c>
      <c r="B338">
        <v>29</v>
      </c>
      <c r="C338" t="s">
        <v>17</v>
      </c>
      <c r="D338" t="s">
        <v>18</v>
      </c>
      <c r="E338">
        <v>4598.32</v>
      </c>
      <c r="F338">
        <v>3727.4</v>
      </c>
      <c r="G338" t="s">
        <v>85</v>
      </c>
      <c r="H338" s="1">
        <v>45473</v>
      </c>
      <c r="I338" s="1">
        <v>45559</v>
      </c>
      <c r="J338" t="s">
        <v>1632</v>
      </c>
      <c r="K338" t="s">
        <v>50</v>
      </c>
      <c r="L338" t="s">
        <v>43</v>
      </c>
      <c r="M338">
        <v>0.79</v>
      </c>
      <c r="N338" t="s">
        <v>1633</v>
      </c>
      <c r="O338">
        <f>61-8-9394-6735</f>
        <v>-16076</v>
      </c>
      <c r="P338" t="s">
        <v>1634</v>
      </c>
    </row>
    <row r="339" spans="1:16" x14ac:dyDescent="0.45">
      <c r="A339" t="s">
        <v>1635</v>
      </c>
      <c r="B339">
        <v>29</v>
      </c>
      <c r="C339" t="s">
        <v>32</v>
      </c>
      <c r="D339" t="s">
        <v>84</v>
      </c>
      <c r="E339">
        <v>4681.59</v>
      </c>
      <c r="F339">
        <v>12729.86</v>
      </c>
      <c r="G339" t="s">
        <v>19</v>
      </c>
      <c r="H339" s="1">
        <v>45023</v>
      </c>
      <c r="I339" s="1">
        <v>45125</v>
      </c>
      <c r="J339" t="s">
        <v>1636</v>
      </c>
      <c r="K339" t="s">
        <v>35</v>
      </c>
      <c r="L339" t="s">
        <v>22</v>
      </c>
      <c r="M339">
        <v>0.01</v>
      </c>
      <c r="N339" t="s">
        <v>1637</v>
      </c>
      <c r="O339" t="s">
        <v>1638</v>
      </c>
      <c r="P339" t="s">
        <v>1639</v>
      </c>
    </row>
    <row r="340" spans="1:16" x14ac:dyDescent="0.45">
      <c r="A340" t="s">
        <v>1640</v>
      </c>
      <c r="B340">
        <v>45</v>
      </c>
      <c r="C340" t="s">
        <v>83</v>
      </c>
      <c r="D340" t="s">
        <v>18</v>
      </c>
      <c r="E340">
        <v>2502.12</v>
      </c>
      <c r="F340">
        <v>9957.98</v>
      </c>
      <c r="G340" t="s">
        <v>19</v>
      </c>
      <c r="H340" s="1">
        <v>44868</v>
      </c>
      <c r="I340" s="1">
        <v>45151</v>
      </c>
      <c r="J340" t="s">
        <v>1641</v>
      </c>
      <c r="K340" t="s">
        <v>35</v>
      </c>
      <c r="L340" t="s">
        <v>36</v>
      </c>
      <c r="M340">
        <v>0.66</v>
      </c>
      <c r="N340" t="s">
        <v>1642</v>
      </c>
      <c r="O340">
        <v>61329452717</v>
      </c>
      <c r="P340" t="s">
        <v>1643</v>
      </c>
    </row>
    <row r="341" spans="1:16" x14ac:dyDescent="0.45">
      <c r="A341" t="s">
        <v>1644</v>
      </c>
      <c r="B341">
        <v>28</v>
      </c>
      <c r="C341" t="s">
        <v>66</v>
      </c>
      <c r="D341" t="s">
        <v>18</v>
      </c>
      <c r="E341">
        <v>3840.21</v>
      </c>
      <c r="F341">
        <v>17045.189999999999</v>
      </c>
      <c r="G341" t="s">
        <v>19</v>
      </c>
      <c r="H341" s="1">
        <v>45301</v>
      </c>
      <c r="I341" s="1">
        <v>45711</v>
      </c>
      <c r="J341" t="s">
        <v>1645</v>
      </c>
      <c r="K341" t="s">
        <v>35</v>
      </c>
      <c r="L341" t="s">
        <v>22</v>
      </c>
      <c r="M341">
        <v>0.99</v>
      </c>
      <c r="N341" t="s">
        <v>1646</v>
      </c>
      <c r="O341" t="s">
        <v>1647</v>
      </c>
      <c r="P341" t="s">
        <v>1648</v>
      </c>
    </row>
    <row r="342" spans="1:16" x14ac:dyDescent="0.45">
      <c r="A342" t="s">
        <v>1649</v>
      </c>
      <c r="B342">
        <v>75</v>
      </c>
      <c r="C342" t="s">
        <v>83</v>
      </c>
      <c r="D342" t="s">
        <v>84</v>
      </c>
      <c r="E342">
        <v>1040.5899999999999</v>
      </c>
      <c r="F342">
        <v>17927.89</v>
      </c>
      <c r="G342" t="s">
        <v>19</v>
      </c>
      <c r="H342" s="1">
        <v>45077</v>
      </c>
      <c r="I342" s="1">
        <v>45449</v>
      </c>
      <c r="J342" t="s">
        <v>1650</v>
      </c>
      <c r="K342" t="s">
        <v>35</v>
      </c>
      <c r="L342" t="s">
        <v>36</v>
      </c>
      <c r="M342">
        <v>0.61</v>
      </c>
      <c r="N342" t="s">
        <v>1651</v>
      </c>
      <c r="O342" t="s">
        <v>1652</v>
      </c>
      <c r="P342" t="s">
        <v>1653</v>
      </c>
    </row>
    <row r="343" spans="1:16" x14ac:dyDescent="0.45">
      <c r="A343" t="s">
        <v>1654</v>
      </c>
      <c r="B343">
        <v>34</v>
      </c>
      <c r="C343" t="s">
        <v>40</v>
      </c>
      <c r="D343" t="s">
        <v>41</v>
      </c>
      <c r="E343">
        <v>1046.44</v>
      </c>
      <c r="F343">
        <v>11916.95</v>
      </c>
      <c r="G343" t="s">
        <v>19</v>
      </c>
      <c r="H343" s="1">
        <v>44774</v>
      </c>
      <c r="I343" s="1">
        <v>45172</v>
      </c>
      <c r="J343" t="s">
        <v>1655</v>
      </c>
      <c r="K343" t="s">
        <v>28</v>
      </c>
      <c r="L343" t="s">
        <v>36</v>
      </c>
      <c r="M343">
        <v>0.96</v>
      </c>
      <c r="N343" t="s">
        <v>1656</v>
      </c>
      <c r="O343" t="s">
        <v>1657</v>
      </c>
      <c r="P343" t="s">
        <v>1658</v>
      </c>
    </row>
    <row r="344" spans="1:16" x14ac:dyDescent="0.45">
      <c r="A344" t="s">
        <v>1659</v>
      </c>
      <c r="B344">
        <v>35</v>
      </c>
      <c r="C344" t="s">
        <v>40</v>
      </c>
      <c r="D344" t="s">
        <v>67</v>
      </c>
      <c r="E344">
        <v>3322.37</v>
      </c>
      <c r="F344">
        <v>8018.36</v>
      </c>
      <c r="G344" t="s">
        <v>19</v>
      </c>
      <c r="H344" s="1">
        <v>45389</v>
      </c>
      <c r="I344" s="1">
        <v>45789</v>
      </c>
      <c r="J344" t="s">
        <v>1660</v>
      </c>
      <c r="K344" t="s">
        <v>21</v>
      </c>
      <c r="L344" t="s">
        <v>36</v>
      </c>
      <c r="M344">
        <v>0.16</v>
      </c>
      <c r="N344" t="s">
        <v>1661</v>
      </c>
      <c r="O344" t="s">
        <v>1662</v>
      </c>
      <c r="P344" t="s">
        <v>1663</v>
      </c>
    </row>
    <row r="345" spans="1:16" x14ac:dyDescent="0.45">
      <c r="A345" t="s">
        <v>1664</v>
      </c>
      <c r="B345">
        <v>32</v>
      </c>
      <c r="C345" t="s">
        <v>66</v>
      </c>
      <c r="D345" t="s">
        <v>84</v>
      </c>
      <c r="E345">
        <v>848.45</v>
      </c>
      <c r="F345">
        <v>4345.03</v>
      </c>
      <c r="G345" t="s">
        <v>19</v>
      </c>
      <c r="H345" s="1">
        <v>44980</v>
      </c>
      <c r="I345" s="1">
        <v>45158</v>
      </c>
      <c r="J345" t="s">
        <v>1665</v>
      </c>
      <c r="K345" t="s">
        <v>21</v>
      </c>
      <c r="L345" t="s">
        <v>36</v>
      </c>
      <c r="M345">
        <v>0.86</v>
      </c>
      <c r="N345" t="s">
        <v>1666</v>
      </c>
      <c r="O345" t="s">
        <v>1667</v>
      </c>
      <c r="P345" t="s">
        <v>1668</v>
      </c>
    </row>
    <row r="346" spans="1:16" x14ac:dyDescent="0.45">
      <c r="A346" t="s">
        <v>1669</v>
      </c>
      <c r="B346">
        <v>34</v>
      </c>
      <c r="C346" t="s">
        <v>83</v>
      </c>
      <c r="D346" t="s">
        <v>84</v>
      </c>
      <c r="E346">
        <v>3260.75</v>
      </c>
      <c r="F346">
        <v>15262.54</v>
      </c>
      <c r="G346" t="s">
        <v>19</v>
      </c>
      <c r="H346" s="1">
        <v>45406</v>
      </c>
      <c r="I346" s="1">
        <v>45837</v>
      </c>
      <c r="J346" t="s">
        <v>1670</v>
      </c>
      <c r="K346" t="s">
        <v>35</v>
      </c>
      <c r="L346" t="s">
        <v>22</v>
      </c>
      <c r="M346">
        <v>0.66</v>
      </c>
      <c r="N346" t="s">
        <v>1671</v>
      </c>
      <c r="O346" t="s">
        <v>1672</v>
      </c>
      <c r="P346" t="s">
        <v>1673</v>
      </c>
    </row>
    <row r="347" spans="1:16" x14ac:dyDescent="0.45">
      <c r="A347" t="s">
        <v>1674</v>
      </c>
      <c r="B347">
        <v>21</v>
      </c>
      <c r="C347" t="s">
        <v>83</v>
      </c>
      <c r="D347" t="s">
        <v>33</v>
      </c>
      <c r="E347">
        <v>3622.67</v>
      </c>
      <c r="F347">
        <v>7237.05</v>
      </c>
      <c r="G347" t="s">
        <v>85</v>
      </c>
      <c r="H347" s="1">
        <v>45073</v>
      </c>
      <c r="I347" s="1">
        <v>45165</v>
      </c>
      <c r="J347" t="s">
        <v>1675</v>
      </c>
      <c r="K347" t="s">
        <v>21</v>
      </c>
      <c r="L347" t="s">
        <v>22</v>
      </c>
      <c r="M347">
        <v>0.13</v>
      </c>
      <c r="N347" t="s">
        <v>1676</v>
      </c>
      <c r="O347">
        <v>9088.8212999999996</v>
      </c>
      <c r="P347" t="s">
        <v>1677</v>
      </c>
    </row>
    <row r="348" spans="1:16" x14ac:dyDescent="0.45">
      <c r="A348" t="s">
        <v>1678</v>
      </c>
      <c r="B348">
        <v>35</v>
      </c>
      <c r="C348" t="s">
        <v>26</v>
      </c>
      <c r="D348" t="s">
        <v>33</v>
      </c>
      <c r="E348">
        <v>2051.9699999999998</v>
      </c>
      <c r="F348">
        <v>6083.83</v>
      </c>
      <c r="G348" t="s">
        <v>104</v>
      </c>
      <c r="H348" s="1">
        <v>44808</v>
      </c>
      <c r="I348" s="1">
        <v>44920</v>
      </c>
      <c r="J348" t="s">
        <v>1679</v>
      </c>
      <c r="K348" t="s">
        <v>35</v>
      </c>
      <c r="L348" t="s">
        <v>43</v>
      </c>
      <c r="M348">
        <v>0.43</v>
      </c>
      <c r="N348" t="s">
        <v>1680</v>
      </c>
      <c r="O348" t="s">
        <v>1681</v>
      </c>
      <c r="P348" t="s">
        <v>1682</v>
      </c>
    </row>
    <row r="349" spans="1:16" x14ac:dyDescent="0.45">
      <c r="A349" t="s">
        <v>1683</v>
      </c>
      <c r="B349">
        <v>56</v>
      </c>
      <c r="C349" t="s">
        <v>66</v>
      </c>
      <c r="D349" t="s">
        <v>41</v>
      </c>
      <c r="E349">
        <v>2886.8</v>
      </c>
      <c r="F349">
        <v>12950.2</v>
      </c>
      <c r="G349" t="s">
        <v>19</v>
      </c>
      <c r="H349" s="1">
        <v>45349</v>
      </c>
      <c r="I349" s="1">
        <v>45761</v>
      </c>
      <c r="J349" t="s">
        <v>1684</v>
      </c>
      <c r="K349" t="s">
        <v>21</v>
      </c>
      <c r="L349" t="s">
        <v>36</v>
      </c>
      <c r="M349">
        <v>0.9</v>
      </c>
      <c r="N349" t="s">
        <v>1685</v>
      </c>
      <c r="O349" t="s">
        <v>1686</v>
      </c>
      <c r="P349" t="s">
        <v>1687</v>
      </c>
    </row>
    <row r="350" spans="1:16" x14ac:dyDescent="0.45">
      <c r="A350" t="s">
        <v>1688</v>
      </c>
      <c r="B350">
        <v>61</v>
      </c>
      <c r="C350" t="s">
        <v>40</v>
      </c>
      <c r="D350" t="s">
        <v>84</v>
      </c>
      <c r="E350">
        <v>3032.98</v>
      </c>
      <c r="F350">
        <v>2256.9299999999998</v>
      </c>
      <c r="G350" t="s">
        <v>19</v>
      </c>
      <c r="H350" s="1">
        <v>45171</v>
      </c>
      <c r="I350" s="1">
        <v>45750</v>
      </c>
      <c r="J350" t="s">
        <v>1689</v>
      </c>
      <c r="K350" t="s">
        <v>28</v>
      </c>
      <c r="L350" t="s">
        <v>43</v>
      </c>
      <c r="M350">
        <v>0.05</v>
      </c>
      <c r="N350" t="s">
        <v>1690</v>
      </c>
      <c r="O350">
        <f>61-2-7474-8083</f>
        <v>-15498</v>
      </c>
      <c r="P350" t="s">
        <v>1691</v>
      </c>
    </row>
    <row r="351" spans="1:16" x14ac:dyDescent="0.45">
      <c r="A351" t="s">
        <v>1692</v>
      </c>
      <c r="B351">
        <v>70</v>
      </c>
      <c r="C351" t="s">
        <v>66</v>
      </c>
      <c r="D351" t="s">
        <v>84</v>
      </c>
      <c r="E351">
        <v>3209.22</v>
      </c>
      <c r="F351">
        <v>5496.62</v>
      </c>
      <c r="G351" t="s">
        <v>104</v>
      </c>
      <c r="H351" s="1">
        <v>45174</v>
      </c>
      <c r="I351" s="1">
        <v>45770</v>
      </c>
      <c r="J351" t="s">
        <v>1693</v>
      </c>
      <c r="K351" t="s">
        <v>21</v>
      </c>
      <c r="L351" t="s">
        <v>22</v>
      </c>
      <c r="M351">
        <v>0.16</v>
      </c>
      <c r="N351" t="s">
        <v>1694</v>
      </c>
      <c r="O351" t="s">
        <v>1695</v>
      </c>
      <c r="P351" t="s">
        <v>1696</v>
      </c>
    </row>
    <row r="352" spans="1:16" x14ac:dyDescent="0.45">
      <c r="A352" t="s">
        <v>1697</v>
      </c>
      <c r="B352">
        <v>65</v>
      </c>
      <c r="C352" t="s">
        <v>17</v>
      </c>
      <c r="D352" t="s">
        <v>41</v>
      </c>
      <c r="E352">
        <v>4384.8</v>
      </c>
      <c r="F352">
        <v>11057.19</v>
      </c>
      <c r="G352" t="s">
        <v>104</v>
      </c>
      <c r="H352" s="1">
        <v>44988</v>
      </c>
      <c r="I352" s="1">
        <v>45662</v>
      </c>
      <c r="J352" t="s">
        <v>1698</v>
      </c>
      <c r="K352" t="s">
        <v>28</v>
      </c>
      <c r="L352" t="s">
        <v>36</v>
      </c>
      <c r="M352">
        <v>0.56999999999999995</v>
      </c>
      <c r="N352" t="s">
        <v>1699</v>
      </c>
      <c r="O352" t="s">
        <v>1700</v>
      </c>
      <c r="P352" t="s">
        <v>1701</v>
      </c>
    </row>
    <row r="353" spans="1:16" x14ac:dyDescent="0.45">
      <c r="A353" t="s">
        <v>1702</v>
      </c>
      <c r="B353">
        <v>75</v>
      </c>
      <c r="C353" t="s">
        <v>83</v>
      </c>
      <c r="D353" t="s">
        <v>67</v>
      </c>
      <c r="E353">
        <v>1497.32</v>
      </c>
      <c r="F353">
        <v>7270.82</v>
      </c>
      <c r="G353" t="s">
        <v>104</v>
      </c>
      <c r="H353" s="1">
        <v>44818</v>
      </c>
      <c r="I353" s="1">
        <v>45061</v>
      </c>
      <c r="J353" t="s">
        <v>1703</v>
      </c>
      <c r="K353" t="s">
        <v>35</v>
      </c>
      <c r="L353" t="s">
        <v>43</v>
      </c>
      <c r="M353">
        <v>0.62</v>
      </c>
      <c r="N353" t="s">
        <v>1704</v>
      </c>
      <c r="O353" t="s">
        <v>1705</v>
      </c>
      <c r="P353" t="s">
        <v>1706</v>
      </c>
    </row>
    <row r="354" spans="1:16" x14ac:dyDescent="0.45">
      <c r="A354" t="s">
        <v>1707</v>
      </c>
      <c r="B354">
        <v>62</v>
      </c>
      <c r="C354" t="s">
        <v>40</v>
      </c>
      <c r="D354" t="s">
        <v>18</v>
      </c>
      <c r="E354">
        <v>4895.4799999999996</v>
      </c>
      <c r="F354">
        <v>2522.9299999999998</v>
      </c>
      <c r="G354" t="s">
        <v>85</v>
      </c>
      <c r="H354" s="1">
        <v>44794</v>
      </c>
      <c r="I354" s="1">
        <v>44890</v>
      </c>
      <c r="J354" t="s">
        <v>1708</v>
      </c>
      <c r="K354" t="s">
        <v>21</v>
      </c>
      <c r="L354" t="s">
        <v>22</v>
      </c>
      <c r="M354">
        <v>0.25</v>
      </c>
      <c r="N354" t="s">
        <v>1709</v>
      </c>
      <c r="O354" t="s">
        <v>1710</v>
      </c>
      <c r="P354" t="s">
        <v>1711</v>
      </c>
    </row>
    <row r="355" spans="1:16" x14ac:dyDescent="0.45">
      <c r="A355" t="s">
        <v>1712</v>
      </c>
      <c r="B355">
        <v>75</v>
      </c>
      <c r="C355" t="s">
        <v>17</v>
      </c>
      <c r="D355" t="s">
        <v>84</v>
      </c>
      <c r="E355">
        <v>1685.24</v>
      </c>
      <c r="F355">
        <v>3070.84</v>
      </c>
      <c r="G355" t="s">
        <v>19</v>
      </c>
      <c r="H355" s="1">
        <v>44786</v>
      </c>
      <c r="I355" s="1">
        <v>44938</v>
      </c>
      <c r="J355" t="s">
        <v>1713</v>
      </c>
      <c r="K355" t="s">
        <v>21</v>
      </c>
      <c r="L355" t="s">
        <v>22</v>
      </c>
      <c r="M355">
        <v>0.82</v>
      </c>
      <c r="N355" t="s">
        <v>1714</v>
      </c>
      <c r="O355" t="s">
        <v>1715</v>
      </c>
      <c r="P355" t="s">
        <v>1716</v>
      </c>
    </row>
    <row r="356" spans="1:16" x14ac:dyDescent="0.45">
      <c r="A356" t="s">
        <v>739</v>
      </c>
      <c r="B356">
        <v>60</v>
      </c>
      <c r="C356" t="s">
        <v>48</v>
      </c>
      <c r="D356" t="s">
        <v>84</v>
      </c>
      <c r="E356">
        <v>2822.33</v>
      </c>
      <c r="F356">
        <v>10764.42</v>
      </c>
      <c r="G356" t="s">
        <v>19</v>
      </c>
      <c r="H356" s="1">
        <v>45227</v>
      </c>
      <c r="I356" s="1">
        <v>45818</v>
      </c>
      <c r="J356" t="s">
        <v>1717</v>
      </c>
      <c r="K356" t="s">
        <v>50</v>
      </c>
      <c r="L356" t="s">
        <v>22</v>
      </c>
      <c r="M356">
        <v>0.32</v>
      </c>
      <c r="N356" t="s">
        <v>1718</v>
      </c>
      <c r="O356" t="s">
        <v>1719</v>
      </c>
      <c r="P356" t="s">
        <v>1720</v>
      </c>
    </row>
    <row r="357" spans="1:16" x14ac:dyDescent="0.45">
      <c r="A357" t="s">
        <v>1721</v>
      </c>
      <c r="B357">
        <v>74</v>
      </c>
      <c r="C357" t="s">
        <v>55</v>
      </c>
      <c r="D357" t="s">
        <v>67</v>
      </c>
      <c r="E357">
        <v>4983.32</v>
      </c>
      <c r="F357">
        <v>2865.74</v>
      </c>
      <c r="G357" t="s">
        <v>19</v>
      </c>
      <c r="H357" s="1">
        <v>45367</v>
      </c>
      <c r="I357" s="1">
        <v>45696</v>
      </c>
      <c r="J357" t="s">
        <v>1722</v>
      </c>
      <c r="K357" t="s">
        <v>35</v>
      </c>
      <c r="L357" t="s">
        <v>36</v>
      </c>
      <c r="M357">
        <v>0.37</v>
      </c>
      <c r="N357" t="s">
        <v>1723</v>
      </c>
      <c r="O357" t="s">
        <v>1724</v>
      </c>
      <c r="P357" t="s">
        <v>1725</v>
      </c>
    </row>
    <row r="358" spans="1:16" x14ac:dyDescent="0.45">
      <c r="A358" t="s">
        <v>1726</v>
      </c>
      <c r="B358">
        <v>67</v>
      </c>
      <c r="C358" t="s">
        <v>32</v>
      </c>
      <c r="D358" t="s">
        <v>18</v>
      </c>
      <c r="E358">
        <v>4718.3500000000004</v>
      </c>
      <c r="F358">
        <v>17706.419999999998</v>
      </c>
      <c r="G358" t="s">
        <v>19</v>
      </c>
      <c r="H358" s="1">
        <v>45052</v>
      </c>
      <c r="I358" s="1">
        <v>45167</v>
      </c>
      <c r="J358" t="s">
        <v>1727</v>
      </c>
      <c r="K358" t="s">
        <v>21</v>
      </c>
      <c r="L358" t="s">
        <v>22</v>
      </c>
      <c r="M358">
        <v>0.6</v>
      </c>
      <c r="N358" t="s">
        <v>1728</v>
      </c>
      <c r="O358" t="s">
        <v>1729</v>
      </c>
      <c r="P358" t="s">
        <v>1730</v>
      </c>
    </row>
    <row r="359" spans="1:16" x14ac:dyDescent="0.45">
      <c r="A359" t="s">
        <v>1731</v>
      </c>
      <c r="B359">
        <v>59</v>
      </c>
      <c r="C359" t="s">
        <v>48</v>
      </c>
      <c r="D359" t="s">
        <v>33</v>
      </c>
      <c r="E359">
        <v>3266.53</v>
      </c>
      <c r="F359">
        <v>14151.59</v>
      </c>
      <c r="G359" t="s">
        <v>104</v>
      </c>
      <c r="H359" s="1">
        <v>45456</v>
      </c>
      <c r="I359" s="1">
        <v>45672</v>
      </c>
      <c r="J359" t="s">
        <v>1732</v>
      </c>
      <c r="K359" t="s">
        <v>21</v>
      </c>
      <c r="L359" t="s">
        <v>36</v>
      </c>
      <c r="M359">
        <v>0.48</v>
      </c>
      <c r="N359" t="s">
        <v>1733</v>
      </c>
      <c r="O359" t="s">
        <v>1734</v>
      </c>
      <c r="P359" t="s">
        <v>1735</v>
      </c>
    </row>
    <row r="360" spans="1:16" x14ac:dyDescent="0.45">
      <c r="A360" t="s">
        <v>837</v>
      </c>
      <c r="B360">
        <v>60</v>
      </c>
      <c r="C360" t="s">
        <v>26</v>
      </c>
      <c r="D360" t="s">
        <v>33</v>
      </c>
      <c r="E360">
        <v>2072.9899999999998</v>
      </c>
      <c r="F360">
        <v>18112.79</v>
      </c>
      <c r="G360" t="s">
        <v>104</v>
      </c>
      <c r="H360" s="1">
        <v>45015</v>
      </c>
      <c r="I360" s="1">
        <v>45586</v>
      </c>
      <c r="J360" t="s">
        <v>1736</v>
      </c>
      <c r="K360" t="s">
        <v>28</v>
      </c>
      <c r="L360" t="s">
        <v>43</v>
      </c>
      <c r="M360">
        <v>0.66</v>
      </c>
      <c r="N360" t="s">
        <v>1737</v>
      </c>
      <c r="O360" t="s">
        <v>1738</v>
      </c>
      <c r="P360" t="s">
        <v>1739</v>
      </c>
    </row>
    <row r="361" spans="1:16" x14ac:dyDescent="0.45">
      <c r="A361" t="s">
        <v>1740</v>
      </c>
      <c r="B361">
        <v>63</v>
      </c>
      <c r="C361" t="s">
        <v>66</v>
      </c>
      <c r="D361" t="s">
        <v>84</v>
      </c>
      <c r="E361">
        <v>2866.8</v>
      </c>
      <c r="F361">
        <v>12356.94</v>
      </c>
      <c r="G361" t="s">
        <v>85</v>
      </c>
      <c r="H361" s="1">
        <v>45274</v>
      </c>
      <c r="I361" s="1">
        <v>45759</v>
      </c>
      <c r="J361" t="s">
        <v>1741</v>
      </c>
      <c r="K361" t="s">
        <v>28</v>
      </c>
      <c r="L361" t="s">
        <v>43</v>
      </c>
      <c r="M361">
        <v>0.53</v>
      </c>
      <c r="N361" t="s">
        <v>1742</v>
      </c>
      <c r="O361">
        <f>61-457-188-226</f>
        <v>-810</v>
      </c>
      <c r="P361" t="s">
        <v>1743</v>
      </c>
    </row>
    <row r="362" spans="1:16" x14ac:dyDescent="0.45">
      <c r="A362" t="s">
        <v>1744</v>
      </c>
      <c r="B362">
        <v>68</v>
      </c>
      <c r="C362" t="s">
        <v>55</v>
      </c>
      <c r="D362" t="s">
        <v>84</v>
      </c>
      <c r="E362">
        <v>4434.66</v>
      </c>
      <c r="F362">
        <v>14241.06</v>
      </c>
      <c r="G362" t="s">
        <v>19</v>
      </c>
      <c r="H362" s="1">
        <v>45204</v>
      </c>
      <c r="I362" s="1">
        <v>45860</v>
      </c>
      <c r="J362" t="s">
        <v>1745</v>
      </c>
      <c r="K362" t="s">
        <v>50</v>
      </c>
      <c r="L362" t="s">
        <v>43</v>
      </c>
      <c r="M362">
        <v>0.88</v>
      </c>
      <c r="N362" t="s">
        <v>1746</v>
      </c>
      <c r="O362">
        <v>61358509765</v>
      </c>
      <c r="P362" t="s">
        <v>1747</v>
      </c>
    </row>
    <row r="363" spans="1:16" x14ac:dyDescent="0.45">
      <c r="A363" t="s">
        <v>1748</v>
      </c>
      <c r="B363">
        <v>23</v>
      </c>
      <c r="C363" t="s">
        <v>66</v>
      </c>
      <c r="D363" t="s">
        <v>41</v>
      </c>
      <c r="E363">
        <v>2408.65</v>
      </c>
      <c r="F363">
        <v>3182.1</v>
      </c>
      <c r="G363" t="s">
        <v>19</v>
      </c>
      <c r="H363" s="1">
        <v>44863</v>
      </c>
      <c r="I363" s="1">
        <v>44872</v>
      </c>
      <c r="J363" t="s">
        <v>1749</v>
      </c>
      <c r="K363" t="s">
        <v>50</v>
      </c>
      <c r="L363" t="s">
        <v>43</v>
      </c>
      <c r="M363">
        <v>0.9</v>
      </c>
      <c r="N363" t="s">
        <v>1750</v>
      </c>
      <c r="O363" t="s">
        <v>1751</v>
      </c>
      <c r="P363" t="s">
        <v>1752</v>
      </c>
    </row>
    <row r="364" spans="1:16" x14ac:dyDescent="0.45">
      <c r="A364" t="s">
        <v>1753</v>
      </c>
      <c r="B364">
        <v>66</v>
      </c>
      <c r="C364" t="s">
        <v>83</v>
      </c>
      <c r="D364" t="s">
        <v>18</v>
      </c>
      <c r="E364">
        <v>4289.1400000000003</v>
      </c>
      <c r="F364">
        <v>7970.06</v>
      </c>
      <c r="G364" t="s">
        <v>19</v>
      </c>
      <c r="H364" s="1">
        <v>44873</v>
      </c>
      <c r="I364" s="1">
        <v>45719</v>
      </c>
      <c r="J364" t="s">
        <v>1754</v>
      </c>
      <c r="K364" t="s">
        <v>28</v>
      </c>
      <c r="L364" t="s">
        <v>43</v>
      </c>
      <c r="M364">
        <v>0.49</v>
      </c>
      <c r="N364" t="s">
        <v>1755</v>
      </c>
      <c r="O364" t="s">
        <v>1756</v>
      </c>
      <c r="P364" t="s">
        <v>1757</v>
      </c>
    </row>
    <row r="365" spans="1:16" x14ac:dyDescent="0.45">
      <c r="A365" t="s">
        <v>1758</v>
      </c>
      <c r="B365">
        <v>62</v>
      </c>
      <c r="C365" t="s">
        <v>40</v>
      </c>
      <c r="D365" t="s">
        <v>84</v>
      </c>
      <c r="E365">
        <v>4071.88</v>
      </c>
      <c r="F365">
        <v>3369.87</v>
      </c>
      <c r="G365" t="s">
        <v>19</v>
      </c>
      <c r="H365" s="1">
        <v>45212</v>
      </c>
      <c r="I365" s="1">
        <v>45364</v>
      </c>
      <c r="J365" t="s">
        <v>1759</v>
      </c>
      <c r="K365" t="s">
        <v>28</v>
      </c>
      <c r="L365" t="s">
        <v>43</v>
      </c>
      <c r="M365">
        <v>0.71</v>
      </c>
      <c r="N365" t="s">
        <v>1760</v>
      </c>
      <c r="O365" t="s">
        <v>1761</v>
      </c>
      <c r="P365" t="s">
        <v>1762</v>
      </c>
    </row>
    <row r="366" spans="1:16" x14ac:dyDescent="0.45">
      <c r="A366" t="s">
        <v>1763</v>
      </c>
      <c r="B366">
        <v>56</v>
      </c>
      <c r="C366" t="s">
        <v>83</v>
      </c>
      <c r="D366" t="s">
        <v>67</v>
      </c>
      <c r="E366">
        <v>3287.25</v>
      </c>
      <c r="F366">
        <v>11702.34</v>
      </c>
      <c r="G366" t="s">
        <v>104</v>
      </c>
      <c r="H366" s="1">
        <v>45097</v>
      </c>
      <c r="I366" s="1">
        <v>45162</v>
      </c>
      <c r="J366" t="s">
        <v>1764</v>
      </c>
      <c r="K366" t="s">
        <v>28</v>
      </c>
      <c r="L366" t="s">
        <v>36</v>
      </c>
      <c r="M366">
        <v>0.95</v>
      </c>
      <c r="N366" t="s">
        <v>1765</v>
      </c>
      <c r="O366" t="s">
        <v>1766</v>
      </c>
      <c r="P366" t="s">
        <v>1767</v>
      </c>
    </row>
    <row r="367" spans="1:16" x14ac:dyDescent="0.45">
      <c r="A367" t="s">
        <v>1768</v>
      </c>
      <c r="B367">
        <v>46</v>
      </c>
      <c r="C367" t="s">
        <v>17</v>
      </c>
      <c r="D367" t="s">
        <v>67</v>
      </c>
      <c r="E367">
        <v>4470.3500000000004</v>
      </c>
      <c r="F367">
        <v>150.47999999999999</v>
      </c>
      <c r="G367" t="s">
        <v>85</v>
      </c>
      <c r="H367" s="1">
        <v>44938</v>
      </c>
      <c r="I367" s="1">
        <v>45369</v>
      </c>
      <c r="J367" t="s">
        <v>1769</v>
      </c>
      <c r="K367" t="s">
        <v>35</v>
      </c>
      <c r="L367" t="s">
        <v>43</v>
      </c>
      <c r="M367">
        <v>0.52</v>
      </c>
      <c r="N367" t="s">
        <v>1770</v>
      </c>
      <c r="O367" t="s">
        <v>1771</v>
      </c>
      <c r="P367" t="s">
        <v>1772</v>
      </c>
    </row>
    <row r="368" spans="1:16" x14ac:dyDescent="0.45">
      <c r="A368" t="s">
        <v>1773</v>
      </c>
      <c r="B368">
        <v>37</v>
      </c>
      <c r="C368" t="s">
        <v>66</v>
      </c>
      <c r="D368" t="s">
        <v>67</v>
      </c>
      <c r="E368">
        <v>1678.76</v>
      </c>
      <c r="F368">
        <v>1513.93</v>
      </c>
      <c r="G368" t="s">
        <v>19</v>
      </c>
      <c r="H368" s="1">
        <v>45467</v>
      </c>
      <c r="I368" s="1">
        <v>45572</v>
      </c>
      <c r="J368" t="s">
        <v>1774</v>
      </c>
      <c r="K368" t="s">
        <v>21</v>
      </c>
      <c r="L368" t="s">
        <v>43</v>
      </c>
      <c r="M368">
        <v>0.86</v>
      </c>
      <c r="N368" t="s">
        <v>1775</v>
      </c>
      <c r="O368">
        <f>61-482-312-956</f>
        <v>-1689</v>
      </c>
      <c r="P368" t="s">
        <v>1776</v>
      </c>
    </row>
    <row r="369" spans="1:16" x14ac:dyDescent="0.45">
      <c r="A369" t="s">
        <v>1777</v>
      </c>
      <c r="B369">
        <v>25</v>
      </c>
      <c r="C369" t="s">
        <v>40</v>
      </c>
      <c r="D369" t="s">
        <v>67</v>
      </c>
      <c r="E369">
        <v>3329.2</v>
      </c>
      <c r="F369">
        <v>15068.18</v>
      </c>
      <c r="G369" t="s">
        <v>19</v>
      </c>
      <c r="H369" s="1">
        <v>44958</v>
      </c>
      <c r="I369" s="1">
        <v>45426</v>
      </c>
      <c r="J369" t="s">
        <v>1778</v>
      </c>
      <c r="K369" t="s">
        <v>50</v>
      </c>
      <c r="L369" t="s">
        <v>22</v>
      </c>
      <c r="M369">
        <v>0.09</v>
      </c>
      <c r="N369" t="s">
        <v>1779</v>
      </c>
      <c r="O369">
        <v>1425.0364</v>
      </c>
      <c r="P369" t="s">
        <v>1780</v>
      </c>
    </row>
    <row r="370" spans="1:16" x14ac:dyDescent="0.45">
      <c r="A370" t="s">
        <v>1781</v>
      </c>
      <c r="B370">
        <v>36</v>
      </c>
      <c r="C370" t="s">
        <v>66</v>
      </c>
      <c r="D370" t="s">
        <v>67</v>
      </c>
      <c r="E370">
        <v>597.33000000000004</v>
      </c>
      <c r="F370">
        <v>17548.02</v>
      </c>
      <c r="G370" t="s">
        <v>19</v>
      </c>
      <c r="H370" s="1">
        <v>44872</v>
      </c>
      <c r="I370" s="1">
        <v>45037</v>
      </c>
      <c r="J370" t="s">
        <v>1782</v>
      </c>
      <c r="K370" t="s">
        <v>21</v>
      </c>
      <c r="L370" t="s">
        <v>43</v>
      </c>
      <c r="M370">
        <v>0.19</v>
      </c>
      <c r="N370" t="s">
        <v>1783</v>
      </c>
      <c r="O370">
        <v>341523918</v>
      </c>
      <c r="P370" t="s">
        <v>1784</v>
      </c>
    </row>
    <row r="371" spans="1:16" x14ac:dyDescent="0.45">
      <c r="A371" t="s">
        <v>1785</v>
      </c>
      <c r="B371">
        <v>36</v>
      </c>
      <c r="C371" t="s">
        <v>55</v>
      </c>
      <c r="D371" t="s">
        <v>33</v>
      </c>
      <c r="E371">
        <v>2764.52</v>
      </c>
      <c r="F371">
        <v>10003.450000000001</v>
      </c>
      <c r="G371" t="s">
        <v>19</v>
      </c>
      <c r="H371" s="1">
        <v>45293</v>
      </c>
      <c r="I371" s="1">
        <v>45786</v>
      </c>
      <c r="J371" t="s">
        <v>1786</v>
      </c>
      <c r="K371" t="s">
        <v>50</v>
      </c>
      <c r="L371" t="s">
        <v>36</v>
      </c>
      <c r="M371">
        <v>0.03</v>
      </c>
      <c r="N371" t="s">
        <v>1787</v>
      </c>
      <c r="O371" t="s">
        <v>1788</v>
      </c>
      <c r="P371" t="s">
        <v>1789</v>
      </c>
    </row>
    <row r="372" spans="1:16" x14ac:dyDescent="0.45">
      <c r="A372" t="s">
        <v>1790</v>
      </c>
      <c r="B372">
        <v>30</v>
      </c>
      <c r="C372" t="s">
        <v>40</v>
      </c>
      <c r="D372" t="s">
        <v>18</v>
      </c>
      <c r="E372">
        <v>990.53</v>
      </c>
      <c r="F372">
        <v>272.52</v>
      </c>
      <c r="G372" t="s">
        <v>19</v>
      </c>
      <c r="H372" s="1">
        <v>45142</v>
      </c>
      <c r="I372" s="1">
        <v>45845</v>
      </c>
      <c r="J372" t="s">
        <v>1791</v>
      </c>
      <c r="K372" t="s">
        <v>21</v>
      </c>
      <c r="L372" t="s">
        <v>36</v>
      </c>
      <c r="M372">
        <v>0.64</v>
      </c>
      <c r="N372" t="s">
        <v>1792</v>
      </c>
      <c r="O372">
        <v>73516969</v>
      </c>
      <c r="P372" t="s">
        <v>1793</v>
      </c>
    </row>
    <row r="373" spans="1:16" x14ac:dyDescent="0.45">
      <c r="A373" t="s">
        <v>1794</v>
      </c>
      <c r="B373">
        <v>38</v>
      </c>
      <c r="C373" t="s">
        <v>55</v>
      </c>
      <c r="D373" t="s">
        <v>67</v>
      </c>
      <c r="E373">
        <v>2573.14</v>
      </c>
      <c r="F373">
        <v>10701.15</v>
      </c>
      <c r="G373" t="s">
        <v>104</v>
      </c>
      <c r="H373" s="1">
        <v>44863</v>
      </c>
      <c r="I373" s="1">
        <v>45480</v>
      </c>
      <c r="J373" t="s">
        <v>1795</v>
      </c>
      <c r="K373" t="s">
        <v>28</v>
      </c>
      <c r="L373" t="s">
        <v>22</v>
      </c>
      <c r="M373">
        <v>0.72</v>
      </c>
      <c r="N373" t="s">
        <v>1796</v>
      </c>
      <c r="O373" t="s">
        <v>1797</v>
      </c>
      <c r="P373" t="s">
        <v>1798</v>
      </c>
    </row>
    <row r="374" spans="1:16" x14ac:dyDescent="0.45">
      <c r="A374" t="s">
        <v>1799</v>
      </c>
      <c r="B374">
        <v>59</v>
      </c>
      <c r="C374" t="s">
        <v>26</v>
      </c>
      <c r="D374" t="s">
        <v>41</v>
      </c>
      <c r="E374">
        <v>2896.8</v>
      </c>
      <c r="F374">
        <v>4174.92</v>
      </c>
      <c r="G374" t="s">
        <v>104</v>
      </c>
      <c r="H374" s="1">
        <v>45486</v>
      </c>
      <c r="I374" s="1">
        <v>45560</v>
      </c>
      <c r="J374" t="s">
        <v>1800</v>
      </c>
      <c r="K374" t="s">
        <v>21</v>
      </c>
      <c r="L374" t="s">
        <v>43</v>
      </c>
      <c r="M374">
        <v>0.88</v>
      </c>
      <c r="N374" t="s">
        <v>1801</v>
      </c>
      <c r="O374" t="s">
        <v>1802</v>
      </c>
      <c r="P374" t="s">
        <v>1803</v>
      </c>
    </row>
    <row r="375" spans="1:16" x14ac:dyDescent="0.45">
      <c r="A375" t="s">
        <v>1804</v>
      </c>
      <c r="B375">
        <v>20</v>
      </c>
      <c r="C375" t="s">
        <v>55</v>
      </c>
      <c r="D375" t="s">
        <v>33</v>
      </c>
      <c r="E375">
        <v>4185.05</v>
      </c>
      <c r="F375">
        <v>12077.23</v>
      </c>
      <c r="G375" t="s">
        <v>104</v>
      </c>
      <c r="H375" s="1">
        <v>45327</v>
      </c>
      <c r="I375" s="1">
        <v>45533</v>
      </c>
      <c r="J375" t="s">
        <v>1805</v>
      </c>
      <c r="K375" t="s">
        <v>28</v>
      </c>
      <c r="L375" t="s">
        <v>22</v>
      </c>
      <c r="M375">
        <v>0.21</v>
      </c>
      <c r="N375" t="s">
        <v>1806</v>
      </c>
      <c r="O375" t="s">
        <v>1807</v>
      </c>
      <c r="P375" t="s">
        <v>1808</v>
      </c>
    </row>
    <row r="376" spans="1:16" x14ac:dyDescent="0.45">
      <c r="A376" t="s">
        <v>1809</v>
      </c>
      <c r="B376">
        <v>41</v>
      </c>
      <c r="C376" t="s">
        <v>48</v>
      </c>
      <c r="D376" t="s">
        <v>67</v>
      </c>
      <c r="E376">
        <v>1089.47</v>
      </c>
      <c r="F376">
        <v>140.85</v>
      </c>
      <c r="G376" t="s">
        <v>85</v>
      </c>
      <c r="H376" s="1">
        <v>45423</v>
      </c>
      <c r="I376" s="1">
        <v>45717</v>
      </c>
      <c r="J376" t="s">
        <v>1810</v>
      </c>
      <c r="K376" t="s">
        <v>50</v>
      </c>
      <c r="L376" t="s">
        <v>22</v>
      </c>
      <c r="M376">
        <v>0.24</v>
      </c>
      <c r="N376" t="s">
        <v>1811</v>
      </c>
      <c r="O376" t="s">
        <v>1812</v>
      </c>
      <c r="P376" t="s">
        <v>1813</v>
      </c>
    </row>
    <row r="377" spans="1:16" x14ac:dyDescent="0.45">
      <c r="A377" t="s">
        <v>1814</v>
      </c>
      <c r="B377">
        <v>38</v>
      </c>
      <c r="C377" t="s">
        <v>17</v>
      </c>
      <c r="D377" t="s">
        <v>18</v>
      </c>
      <c r="E377">
        <v>1754.96</v>
      </c>
      <c r="F377">
        <v>8670.77</v>
      </c>
      <c r="G377" t="s">
        <v>85</v>
      </c>
      <c r="H377" s="1">
        <v>44875</v>
      </c>
      <c r="I377" s="1">
        <v>44954</v>
      </c>
      <c r="J377" t="s">
        <v>1815</v>
      </c>
      <c r="K377" t="s">
        <v>35</v>
      </c>
      <c r="L377" t="s">
        <v>22</v>
      </c>
      <c r="M377">
        <v>0.6</v>
      </c>
      <c r="N377" t="s">
        <v>1816</v>
      </c>
      <c r="O377">
        <f>61-8-1352-1171</f>
        <v>-2470</v>
      </c>
      <c r="P377" t="s">
        <v>1817</v>
      </c>
    </row>
    <row r="378" spans="1:16" x14ac:dyDescent="0.45">
      <c r="A378" t="s">
        <v>1818</v>
      </c>
      <c r="B378">
        <v>54</v>
      </c>
      <c r="C378" t="s">
        <v>55</v>
      </c>
      <c r="D378" t="s">
        <v>33</v>
      </c>
      <c r="E378">
        <v>1586.37</v>
      </c>
      <c r="F378">
        <v>2538.04</v>
      </c>
      <c r="G378" t="s">
        <v>85</v>
      </c>
      <c r="H378" s="1">
        <v>45200</v>
      </c>
      <c r="I378" s="1">
        <v>45815</v>
      </c>
      <c r="J378" t="s">
        <v>1819</v>
      </c>
      <c r="K378" t="s">
        <v>28</v>
      </c>
      <c r="L378" t="s">
        <v>36</v>
      </c>
      <c r="M378">
        <v>0.36</v>
      </c>
      <c r="N378" t="s">
        <v>1820</v>
      </c>
      <c r="O378" t="s">
        <v>1821</v>
      </c>
      <c r="P378" t="s">
        <v>1822</v>
      </c>
    </row>
    <row r="379" spans="1:16" x14ac:dyDescent="0.45">
      <c r="A379" t="s">
        <v>1823</v>
      </c>
      <c r="B379">
        <v>59</v>
      </c>
      <c r="C379" t="s">
        <v>32</v>
      </c>
      <c r="D379" t="s">
        <v>18</v>
      </c>
      <c r="E379">
        <v>4172.1099999999997</v>
      </c>
      <c r="F379">
        <v>206.88</v>
      </c>
      <c r="G379" t="s">
        <v>19</v>
      </c>
      <c r="H379" s="1">
        <v>45488</v>
      </c>
      <c r="I379" s="1">
        <v>45703</v>
      </c>
      <c r="J379" t="s">
        <v>1824</v>
      </c>
      <c r="K379" t="s">
        <v>50</v>
      </c>
      <c r="L379" t="s">
        <v>36</v>
      </c>
      <c r="M379">
        <v>0.93</v>
      </c>
      <c r="N379" t="s">
        <v>1825</v>
      </c>
      <c r="O379" t="s">
        <v>1826</v>
      </c>
      <c r="P379" t="s">
        <v>1827</v>
      </c>
    </row>
    <row r="380" spans="1:16" x14ac:dyDescent="0.45">
      <c r="A380" t="s">
        <v>1828</v>
      </c>
      <c r="B380">
        <v>70</v>
      </c>
      <c r="C380" t="s">
        <v>83</v>
      </c>
      <c r="D380" t="s">
        <v>33</v>
      </c>
      <c r="E380">
        <v>398.94</v>
      </c>
      <c r="F380">
        <v>5861.34</v>
      </c>
      <c r="G380" t="s">
        <v>19</v>
      </c>
      <c r="H380" s="1">
        <v>45439</v>
      </c>
      <c r="I380" s="1">
        <v>45847</v>
      </c>
      <c r="J380" t="s">
        <v>1829</v>
      </c>
      <c r="K380" t="s">
        <v>28</v>
      </c>
      <c r="L380" t="s">
        <v>36</v>
      </c>
      <c r="M380">
        <v>0.9</v>
      </c>
      <c r="N380" t="s">
        <v>1830</v>
      </c>
      <c r="O380" t="s">
        <v>1831</v>
      </c>
      <c r="P380" t="s">
        <v>1832</v>
      </c>
    </row>
    <row r="381" spans="1:16" x14ac:dyDescent="0.45">
      <c r="A381" t="s">
        <v>1833</v>
      </c>
      <c r="B381">
        <v>58</v>
      </c>
      <c r="C381" t="s">
        <v>55</v>
      </c>
      <c r="D381" t="s">
        <v>84</v>
      </c>
      <c r="E381">
        <v>4198.37</v>
      </c>
      <c r="F381">
        <v>9347.43</v>
      </c>
      <c r="G381" t="s">
        <v>85</v>
      </c>
      <c r="H381" s="1">
        <v>45098</v>
      </c>
      <c r="I381" s="1">
        <v>45397</v>
      </c>
      <c r="J381" t="s">
        <v>1834</v>
      </c>
      <c r="K381" t="s">
        <v>28</v>
      </c>
      <c r="L381" t="s">
        <v>22</v>
      </c>
      <c r="M381">
        <v>0.48</v>
      </c>
      <c r="N381" t="s">
        <v>1835</v>
      </c>
      <c r="O381" t="s">
        <v>1836</v>
      </c>
      <c r="P381" t="s">
        <v>1837</v>
      </c>
    </row>
    <row r="382" spans="1:16" x14ac:dyDescent="0.45">
      <c r="A382" t="s">
        <v>1838</v>
      </c>
      <c r="B382">
        <v>74</v>
      </c>
      <c r="C382" t="s">
        <v>83</v>
      </c>
      <c r="D382" t="s">
        <v>33</v>
      </c>
      <c r="E382">
        <v>1404.93</v>
      </c>
      <c r="F382">
        <v>1257.51</v>
      </c>
      <c r="G382" t="s">
        <v>19</v>
      </c>
      <c r="H382" s="1">
        <v>45191</v>
      </c>
      <c r="I382" s="1">
        <v>45394</v>
      </c>
      <c r="J382" t="s">
        <v>1839</v>
      </c>
      <c r="K382" t="s">
        <v>35</v>
      </c>
      <c r="L382" t="s">
        <v>43</v>
      </c>
      <c r="M382">
        <v>0.56000000000000005</v>
      </c>
      <c r="N382" t="s">
        <v>1840</v>
      </c>
      <c r="O382" t="s">
        <v>1841</v>
      </c>
      <c r="P382" t="s">
        <v>1842</v>
      </c>
    </row>
    <row r="383" spans="1:16" x14ac:dyDescent="0.45">
      <c r="A383" t="s">
        <v>1843</v>
      </c>
      <c r="B383">
        <v>63</v>
      </c>
      <c r="C383" t="s">
        <v>55</v>
      </c>
      <c r="D383" t="s">
        <v>41</v>
      </c>
      <c r="E383">
        <v>1522.93</v>
      </c>
      <c r="F383">
        <v>14058.29</v>
      </c>
      <c r="G383" t="s">
        <v>19</v>
      </c>
      <c r="H383" s="1">
        <v>45264</v>
      </c>
      <c r="I383" s="1">
        <v>45483</v>
      </c>
      <c r="J383" t="s">
        <v>1844</v>
      </c>
      <c r="K383" t="s">
        <v>35</v>
      </c>
      <c r="L383" t="s">
        <v>36</v>
      </c>
      <c r="M383">
        <v>0.95</v>
      </c>
      <c r="N383" t="s">
        <v>1845</v>
      </c>
      <c r="O383" t="s">
        <v>1846</v>
      </c>
      <c r="P383" t="s">
        <v>1847</v>
      </c>
    </row>
    <row r="384" spans="1:16" x14ac:dyDescent="0.45">
      <c r="A384" t="s">
        <v>1848</v>
      </c>
      <c r="B384">
        <v>71</v>
      </c>
      <c r="C384" t="s">
        <v>32</v>
      </c>
      <c r="D384" t="s">
        <v>33</v>
      </c>
      <c r="E384">
        <v>3517.94</v>
      </c>
      <c r="F384">
        <v>6666.16</v>
      </c>
      <c r="G384" t="s">
        <v>104</v>
      </c>
      <c r="H384" s="1">
        <v>45123</v>
      </c>
      <c r="I384" s="1">
        <v>45170</v>
      </c>
      <c r="J384" t="s">
        <v>1849</v>
      </c>
      <c r="K384" t="s">
        <v>35</v>
      </c>
      <c r="L384" t="s">
        <v>22</v>
      </c>
      <c r="M384">
        <v>0.34</v>
      </c>
      <c r="N384" t="s">
        <v>1850</v>
      </c>
      <c r="O384">
        <v>61324321061</v>
      </c>
      <c r="P384" t="s">
        <v>1851</v>
      </c>
    </row>
    <row r="385" spans="1:16" x14ac:dyDescent="0.45">
      <c r="A385" t="s">
        <v>1852</v>
      </c>
      <c r="B385">
        <v>55</v>
      </c>
      <c r="C385" t="s">
        <v>83</v>
      </c>
      <c r="D385" t="s">
        <v>67</v>
      </c>
      <c r="E385">
        <v>3361.12</v>
      </c>
      <c r="F385">
        <v>3253</v>
      </c>
      <c r="G385" t="s">
        <v>19</v>
      </c>
      <c r="H385" s="1">
        <v>45364</v>
      </c>
      <c r="I385" s="1">
        <v>45553</v>
      </c>
      <c r="J385" t="s">
        <v>1853</v>
      </c>
      <c r="K385" t="s">
        <v>50</v>
      </c>
      <c r="L385" t="s">
        <v>43</v>
      </c>
      <c r="M385">
        <v>0.77</v>
      </c>
      <c r="N385" t="s">
        <v>1854</v>
      </c>
      <c r="O385" t="s">
        <v>1855</v>
      </c>
      <c r="P385" t="s">
        <v>1856</v>
      </c>
    </row>
    <row r="386" spans="1:16" x14ac:dyDescent="0.45">
      <c r="A386" t="s">
        <v>1857</v>
      </c>
      <c r="B386">
        <v>73</v>
      </c>
      <c r="C386" t="s">
        <v>40</v>
      </c>
      <c r="D386" t="s">
        <v>33</v>
      </c>
      <c r="E386">
        <v>2983.06</v>
      </c>
      <c r="F386">
        <v>3403.44</v>
      </c>
      <c r="G386" t="s">
        <v>85</v>
      </c>
      <c r="H386" s="1">
        <v>45336</v>
      </c>
      <c r="I386" s="1">
        <v>45479</v>
      </c>
      <c r="J386" t="s">
        <v>1858</v>
      </c>
      <c r="K386" t="s">
        <v>28</v>
      </c>
      <c r="L386" t="s">
        <v>36</v>
      </c>
      <c r="M386">
        <v>0.41</v>
      </c>
      <c r="N386" t="s">
        <v>1859</v>
      </c>
      <c r="O386" t="s">
        <v>1860</v>
      </c>
      <c r="P386" t="s">
        <v>1861</v>
      </c>
    </row>
    <row r="387" spans="1:16" x14ac:dyDescent="0.45">
      <c r="A387" t="s">
        <v>1862</v>
      </c>
      <c r="B387">
        <v>29</v>
      </c>
      <c r="C387" t="s">
        <v>66</v>
      </c>
      <c r="D387" t="s">
        <v>67</v>
      </c>
      <c r="E387">
        <v>4562.28</v>
      </c>
      <c r="F387">
        <v>10419.959999999999</v>
      </c>
      <c r="G387" t="s">
        <v>19</v>
      </c>
      <c r="H387" s="1">
        <v>45112</v>
      </c>
      <c r="I387" s="1">
        <v>45688</v>
      </c>
      <c r="J387" t="s">
        <v>1863</v>
      </c>
      <c r="K387" t="s">
        <v>50</v>
      </c>
      <c r="L387" t="s">
        <v>43</v>
      </c>
      <c r="M387">
        <v>0.94</v>
      </c>
      <c r="N387" t="s">
        <v>1864</v>
      </c>
      <c r="O387" t="s">
        <v>1865</v>
      </c>
      <c r="P387" t="s">
        <v>1866</v>
      </c>
    </row>
    <row r="388" spans="1:16" x14ac:dyDescent="0.45">
      <c r="A388" t="s">
        <v>1867</v>
      </c>
      <c r="B388">
        <v>30</v>
      </c>
      <c r="C388" t="s">
        <v>32</v>
      </c>
      <c r="D388" t="s">
        <v>67</v>
      </c>
      <c r="E388">
        <v>901.17</v>
      </c>
      <c r="F388">
        <v>7531.85</v>
      </c>
      <c r="G388" t="s">
        <v>104</v>
      </c>
      <c r="H388" s="1">
        <v>44875</v>
      </c>
      <c r="I388" s="1">
        <v>45486</v>
      </c>
      <c r="J388" t="s">
        <v>1868</v>
      </c>
      <c r="K388" t="s">
        <v>21</v>
      </c>
      <c r="L388" t="s">
        <v>43</v>
      </c>
      <c r="M388">
        <v>0.22</v>
      </c>
      <c r="N388" t="s">
        <v>1869</v>
      </c>
      <c r="O388">
        <v>830369621</v>
      </c>
      <c r="P388" t="s">
        <v>1870</v>
      </c>
    </row>
    <row r="389" spans="1:16" x14ac:dyDescent="0.45">
      <c r="A389" t="s">
        <v>1871</v>
      </c>
      <c r="B389">
        <v>75</v>
      </c>
      <c r="C389" t="s">
        <v>48</v>
      </c>
      <c r="D389" t="s">
        <v>84</v>
      </c>
      <c r="E389">
        <v>4251.87</v>
      </c>
      <c r="F389">
        <v>7249.17</v>
      </c>
      <c r="G389" t="s">
        <v>19</v>
      </c>
      <c r="H389" s="1">
        <v>45459</v>
      </c>
      <c r="I389" s="1">
        <v>45673</v>
      </c>
      <c r="J389" t="s">
        <v>1872</v>
      </c>
      <c r="K389" t="s">
        <v>28</v>
      </c>
      <c r="L389" t="s">
        <v>22</v>
      </c>
      <c r="M389">
        <v>0.68</v>
      </c>
      <c r="N389" t="s">
        <v>1873</v>
      </c>
      <c r="O389" t="s">
        <v>1874</v>
      </c>
      <c r="P389" t="s">
        <v>1875</v>
      </c>
    </row>
    <row r="390" spans="1:16" x14ac:dyDescent="0.45">
      <c r="A390" t="s">
        <v>1876</v>
      </c>
      <c r="B390">
        <v>38</v>
      </c>
      <c r="C390" t="s">
        <v>66</v>
      </c>
      <c r="D390" t="s">
        <v>18</v>
      </c>
      <c r="E390">
        <v>3043.63</v>
      </c>
      <c r="F390">
        <v>17040.14</v>
      </c>
      <c r="G390" t="s">
        <v>19</v>
      </c>
      <c r="H390" s="1">
        <v>45023</v>
      </c>
      <c r="I390" s="1">
        <v>45158</v>
      </c>
      <c r="J390" t="s">
        <v>1877</v>
      </c>
      <c r="K390" t="s">
        <v>50</v>
      </c>
      <c r="L390" t="s">
        <v>36</v>
      </c>
      <c r="M390">
        <v>0.26</v>
      </c>
      <c r="N390" t="s">
        <v>1878</v>
      </c>
      <c r="O390" t="s">
        <v>1879</v>
      </c>
      <c r="P390" t="s">
        <v>1880</v>
      </c>
    </row>
    <row r="391" spans="1:16" x14ac:dyDescent="0.45">
      <c r="A391" t="s">
        <v>1881</v>
      </c>
      <c r="B391">
        <v>68</v>
      </c>
      <c r="C391" t="s">
        <v>40</v>
      </c>
      <c r="D391" t="s">
        <v>67</v>
      </c>
      <c r="E391">
        <v>4611.6499999999996</v>
      </c>
      <c r="F391">
        <v>5418.43</v>
      </c>
      <c r="G391" t="s">
        <v>104</v>
      </c>
      <c r="H391" s="1">
        <v>44912</v>
      </c>
      <c r="I391" s="1">
        <v>45222</v>
      </c>
      <c r="J391" t="s">
        <v>1882</v>
      </c>
      <c r="K391" t="s">
        <v>50</v>
      </c>
      <c r="L391" t="s">
        <v>22</v>
      </c>
      <c r="M391">
        <v>0.48</v>
      </c>
      <c r="N391" t="s">
        <v>1883</v>
      </c>
      <c r="O391">
        <v>397413376</v>
      </c>
      <c r="P391" t="s">
        <v>1884</v>
      </c>
    </row>
    <row r="392" spans="1:16" x14ac:dyDescent="0.45">
      <c r="A392" t="s">
        <v>1885</v>
      </c>
      <c r="B392">
        <v>26</v>
      </c>
      <c r="C392" t="s">
        <v>26</v>
      </c>
      <c r="D392" t="s">
        <v>67</v>
      </c>
      <c r="E392">
        <v>1984.91</v>
      </c>
      <c r="F392">
        <v>18020.490000000002</v>
      </c>
      <c r="G392" t="s">
        <v>85</v>
      </c>
      <c r="H392" s="1">
        <v>45043</v>
      </c>
      <c r="I392" s="1">
        <v>45141</v>
      </c>
      <c r="J392" t="s">
        <v>1886</v>
      </c>
      <c r="K392" t="s">
        <v>28</v>
      </c>
      <c r="L392" t="s">
        <v>36</v>
      </c>
      <c r="M392">
        <v>0.89</v>
      </c>
      <c r="N392" t="s">
        <v>1887</v>
      </c>
      <c r="O392" t="s">
        <v>1888</v>
      </c>
      <c r="P392" t="s">
        <v>1889</v>
      </c>
    </row>
    <row r="393" spans="1:16" x14ac:dyDescent="0.45">
      <c r="A393" t="s">
        <v>1890</v>
      </c>
      <c r="B393">
        <v>53</v>
      </c>
      <c r="C393" t="s">
        <v>66</v>
      </c>
      <c r="D393" t="s">
        <v>84</v>
      </c>
      <c r="E393">
        <v>348.27</v>
      </c>
      <c r="F393">
        <v>11873.94</v>
      </c>
      <c r="G393" t="s">
        <v>19</v>
      </c>
      <c r="H393" s="1">
        <v>45289</v>
      </c>
      <c r="I393" s="1">
        <v>45502</v>
      </c>
      <c r="J393" t="s">
        <v>1891</v>
      </c>
      <c r="K393" t="s">
        <v>35</v>
      </c>
      <c r="L393" t="s">
        <v>43</v>
      </c>
      <c r="M393">
        <v>0.98</v>
      </c>
      <c r="N393" t="s">
        <v>1892</v>
      </c>
      <c r="O393">
        <v>61277721124</v>
      </c>
      <c r="P393" t="s">
        <v>1893</v>
      </c>
    </row>
    <row r="394" spans="1:16" x14ac:dyDescent="0.45">
      <c r="A394" t="s">
        <v>1894</v>
      </c>
      <c r="B394">
        <v>24</v>
      </c>
      <c r="C394" t="s">
        <v>48</v>
      </c>
      <c r="D394" t="s">
        <v>67</v>
      </c>
      <c r="E394">
        <v>2687.14</v>
      </c>
      <c r="F394">
        <v>6585.42</v>
      </c>
      <c r="G394" t="s">
        <v>19</v>
      </c>
      <c r="H394" s="1">
        <v>45262</v>
      </c>
      <c r="I394" s="1">
        <v>45702</v>
      </c>
      <c r="J394" t="s">
        <v>1895</v>
      </c>
      <c r="K394" t="s">
        <v>21</v>
      </c>
      <c r="L394" t="s">
        <v>36</v>
      </c>
      <c r="M394">
        <v>0.1</v>
      </c>
      <c r="N394" t="s">
        <v>1896</v>
      </c>
      <c r="O394">
        <f>61-421-861-851</f>
        <v>-2072</v>
      </c>
      <c r="P394" t="s">
        <v>1897</v>
      </c>
    </row>
    <row r="395" spans="1:16" x14ac:dyDescent="0.45">
      <c r="A395" t="s">
        <v>1898</v>
      </c>
      <c r="B395">
        <v>59</v>
      </c>
      <c r="C395" t="s">
        <v>55</v>
      </c>
      <c r="D395" t="s">
        <v>84</v>
      </c>
      <c r="E395">
        <v>4205.8100000000004</v>
      </c>
      <c r="F395">
        <v>9711.2199999999993</v>
      </c>
      <c r="G395" t="s">
        <v>104</v>
      </c>
      <c r="H395" s="1">
        <v>45178</v>
      </c>
      <c r="I395" s="1">
        <v>45641</v>
      </c>
      <c r="J395" t="s">
        <v>1899</v>
      </c>
      <c r="K395" t="s">
        <v>28</v>
      </c>
      <c r="L395" t="s">
        <v>22</v>
      </c>
      <c r="M395">
        <v>0.69</v>
      </c>
      <c r="N395" t="s">
        <v>1900</v>
      </c>
      <c r="O395" t="s">
        <v>1901</v>
      </c>
      <c r="P395" t="s">
        <v>1902</v>
      </c>
    </row>
    <row r="396" spans="1:16" x14ac:dyDescent="0.45">
      <c r="A396" t="s">
        <v>1903</v>
      </c>
      <c r="B396">
        <v>28</v>
      </c>
      <c r="C396" t="s">
        <v>55</v>
      </c>
      <c r="D396" t="s">
        <v>41</v>
      </c>
      <c r="E396">
        <v>1770.51</v>
      </c>
      <c r="F396">
        <v>12036.23</v>
      </c>
      <c r="G396" t="s">
        <v>19</v>
      </c>
      <c r="H396" s="1">
        <v>45462</v>
      </c>
      <c r="I396" s="1">
        <v>45587</v>
      </c>
      <c r="J396" t="s">
        <v>1904</v>
      </c>
      <c r="K396" t="s">
        <v>50</v>
      </c>
      <c r="L396" t="s">
        <v>36</v>
      </c>
      <c r="M396">
        <v>0.41</v>
      </c>
      <c r="N396" t="s">
        <v>1905</v>
      </c>
      <c r="O396">
        <v>61366155815</v>
      </c>
      <c r="P396" t="s">
        <v>1906</v>
      </c>
    </row>
    <row r="397" spans="1:16" x14ac:dyDescent="0.45">
      <c r="A397" t="s">
        <v>1907</v>
      </c>
      <c r="B397">
        <v>48</v>
      </c>
      <c r="C397" t="s">
        <v>66</v>
      </c>
      <c r="D397" t="s">
        <v>18</v>
      </c>
      <c r="E397">
        <v>1865.17</v>
      </c>
      <c r="F397">
        <v>16750.419999999998</v>
      </c>
      <c r="G397" t="s">
        <v>104</v>
      </c>
      <c r="H397" s="1">
        <v>45358</v>
      </c>
      <c r="I397" s="1">
        <v>45798</v>
      </c>
      <c r="J397" t="s">
        <v>1908</v>
      </c>
      <c r="K397" t="s">
        <v>35</v>
      </c>
      <c r="L397" t="s">
        <v>43</v>
      </c>
      <c r="M397">
        <v>0.44</v>
      </c>
      <c r="N397" t="s">
        <v>1909</v>
      </c>
      <c r="O397" t="s">
        <v>1910</v>
      </c>
      <c r="P397" t="s">
        <v>1911</v>
      </c>
    </row>
    <row r="398" spans="1:16" x14ac:dyDescent="0.45">
      <c r="A398" t="s">
        <v>1912</v>
      </c>
      <c r="B398">
        <v>40</v>
      </c>
      <c r="C398" t="s">
        <v>48</v>
      </c>
      <c r="D398" t="s">
        <v>67</v>
      </c>
      <c r="E398">
        <v>4882.3900000000003</v>
      </c>
      <c r="F398">
        <v>11660.87</v>
      </c>
      <c r="G398" t="s">
        <v>104</v>
      </c>
      <c r="H398" s="1">
        <v>45470</v>
      </c>
      <c r="I398" s="1">
        <v>45676</v>
      </c>
      <c r="J398" t="s">
        <v>1913</v>
      </c>
      <c r="K398" t="s">
        <v>35</v>
      </c>
      <c r="L398" t="s">
        <v>43</v>
      </c>
      <c r="M398">
        <v>0.39</v>
      </c>
      <c r="N398" t="s">
        <v>1914</v>
      </c>
      <c r="O398" t="s">
        <v>1915</v>
      </c>
      <c r="P398" t="s">
        <v>1916</v>
      </c>
    </row>
    <row r="399" spans="1:16" x14ac:dyDescent="0.45">
      <c r="A399" t="s">
        <v>1917</v>
      </c>
      <c r="B399">
        <v>28</v>
      </c>
      <c r="C399" t="s">
        <v>26</v>
      </c>
      <c r="D399" t="s">
        <v>67</v>
      </c>
      <c r="E399">
        <v>2088.2600000000002</v>
      </c>
      <c r="F399">
        <v>8008.76</v>
      </c>
      <c r="G399" t="s">
        <v>19</v>
      </c>
      <c r="H399" s="1">
        <v>45281</v>
      </c>
      <c r="I399" s="1">
        <v>45416</v>
      </c>
      <c r="J399" t="s">
        <v>1918</v>
      </c>
      <c r="K399" t="s">
        <v>50</v>
      </c>
      <c r="L399" t="s">
        <v>43</v>
      </c>
      <c r="M399">
        <v>0.73</v>
      </c>
      <c r="N399" t="s">
        <v>1919</v>
      </c>
      <c r="O399" t="s">
        <v>1920</v>
      </c>
      <c r="P399" t="s">
        <v>1921</v>
      </c>
    </row>
    <row r="400" spans="1:16" x14ac:dyDescent="0.45">
      <c r="A400" t="s">
        <v>1922</v>
      </c>
      <c r="B400">
        <v>69</v>
      </c>
      <c r="C400" t="s">
        <v>48</v>
      </c>
      <c r="D400" t="s">
        <v>18</v>
      </c>
      <c r="E400">
        <v>1693.06</v>
      </c>
      <c r="F400">
        <v>15765.29</v>
      </c>
      <c r="G400" t="s">
        <v>19</v>
      </c>
      <c r="H400" s="1">
        <v>44933</v>
      </c>
      <c r="I400" s="1">
        <v>45470</v>
      </c>
      <c r="J400" t="s">
        <v>1923</v>
      </c>
      <c r="K400" t="s">
        <v>28</v>
      </c>
      <c r="L400" t="s">
        <v>36</v>
      </c>
      <c r="M400">
        <v>0.77</v>
      </c>
      <c r="N400" t="s">
        <v>1924</v>
      </c>
      <c r="O400" t="s">
        <v>1925</v>
      </c>
      <c r="P400" t="s">
        <v>1926</v>
      </c>
    </row>
    <row r="401" spans="1:16" x14ac:dyDescent="0.45">
      <c r="A401" t="s">
        <v>1927</v>
      </c>
      <c r="B401">
        <v>35</v>
      </c>
      <c r="C401" t="s">
        <v>55</v>
      </c>
      <c r="D401" t="s">
        <v>33</v>
      </c>
      <c r="E401">
        <v>3053.15</v>
      </c>
      <c r="F401">
        <v>10060.200000000001</v>
      </c>
      <c r="G401" t="s">
        <v>104</v>
      </c>
      <c r="H401" s="1">
        <v>45216</v>
      </c>
      <c r="I401" s="1">
        <v>45478</v>
      </c>
      <c r="J401" t="s">
        <v>1928</v>
      </c>
      <c r="K401" t="s">
        <v>35</v>
      </c>
      <c r="L401" t="s">
        <v>43</v>
      </c>
      <c r="M401">
        <v>0.98</v>
      </c>
      <c r="N401" t="s">
        <v>1929</v>
      </c>
      <c r="O401" t="s">
        <v>1930</v>
      </c>
      <c r="P401" t="s">
        <v>1931</v>
      </c>
    </row>
    <row r="402" spans="1:16" x14ac:dyDescent="0.45">
      <c r="A402" t="s">
        <v>1932</v>
      </c>
      <c r="B402">
        <v>59</v>
      </c>
      <c r="C402" t="s">
        <v>66</v>
      </c>
      <c r="D402" t="s">
        <v>41</v>
      </c>
      <c r="E402">
        <v>2661.35</v>
      </c>
      <c r="F402">
        <v>14429.55</v>
      </c>
      <c r="G402" t="s">
        <v>19</v>
      </c>
      <c r="H402" s="1">
        <v>44818</v>
      </c>
      <c r="I402" s="1">
        <v>45443</v>
      </c>
      <c r="J402" t="s">
        <v>1933</v>
      </c>
      <c r="K402" t="s">
        <v>21</v>
      </c>
      <c r="L402" t="s">
        <v>43</v>
      </c>
      <c r="M402">
        <v>0.52</v>
      </c>
      <c r="N402" t="s">
        <v>1934</v>
      </c>
      <c r="O402" t="s">
        <v>1935</v>
      </c>
      <c r="P402" t="s">
        <v>1936</v>
      </c>
    </row>
    <row r="403" spans="1:16" x14ac:dyDescent="0.45">
      <c r="A403" t="s">
        <v>1937</v>
      </c>
      <c r="B403">
        <v>52</v>
      </c>
      <c r="C403" t="s">
        <v>40</v>
      </c>
      <c r="D403" t="s">
        <v>33</v>
      </c>
      <c r="E403">
        <v>2029.96</v>
      </c>
      <c r="F403">
        <v>4000.77</v>
      </c>
      <c r="G403" t="s">
        <v>19</v>
      </c>
      <c r="H403" s="1">
        <v>45479</v>
      </c>
      <c r="I403" s="1">
        <v>45571</v>
      </c>
      <c r="J403" t="s">
        <v>1938</v>
      </c>
      <c r="K403" t="s">
        <v>50</v>
      </c>
      <c r="L403" t="s">
        <v>43</v>
      </c>
      <c r="M403">
        <v>0.46</v>
      </c>
      <c r="N403" t="s">
        <v>1939</v>
      </c>
      <c r="O403" t="s">
        <v>1940</v>
      </c>
      <c r="P403" t="s">
        <v>1941</v>
      </c>
    </row>
    <row r="404" spans="1:16" x14ac:dyDescent="0.45">
      <c r="A404" t="s">
        <v>1942</v>
      </c>
      <c r="B404">
        <v>28</v>
      </c>
      <c r="C404" t="s">
        <v>55</v>
      </c>
      <c r="D404" t="s">
        <v>33</v>
      </c>
      <c r="E404">
        <v>3435.34</v>
      </c>
      <c r="F404">
        <v>15866.55</v>
      </c>
      <c r="G404" t="s">
        <v>19</v>
      </c>
      <c r="H404" s="1">
        <v>45074</v>
      </c>
      <c r="I404" s="1">
        <v>45320</v>
      </c>
      <c r="J404" t="s">
        <v>1943</v>
      </c>
      <c r="K404" t="s">
        <v>28</v>
      </c>
      <c r="L404" t="s">
        <v>36</v>
      </c>
      <c r="M404">
        <v>0.82</v>
      </c>
      <c r="N404" t="s">
        <v>1944</v>
      </c>
      <c r="O404" t="s">
        <v>1945</v>
      </c>
      <c r="P404" t="s">
        <v>1946</v>
      </c>
    </row>
    <row r="405" spans="1:16" x14ac:dyDescent="0.45">
      <c r="A405" t="s">
        <v>1947</v>
      </c>
      <c r="B405">
        <v>18</v>
      </c>
      <c r="C405" t="s">
        <v>40</v>
      </c>
      <c r="D405" t="s">
        <v>18</v>
      </c>
      <c r="E405">
        <v>2197.1999999999998</v>
      </c>
      <c r="F405">
        <v>2780.9</v>
      </c>
      <c r="G405" t="s">
        <v>85</v>
      </c>
      <c r="H405" s="1">
        <v>45358</v>
      </c>
      <c r="I405" s="1">
        <v>45822</v>
      </c>
      <c r="J405" t="s">
        <v>1948</v>
      </c>
      <c r="K405" t="s">
        <v>35</v>
      </c>
      <c r="L405" t="s">
        <v>43</v>
      </c>
      <c r="M405">
        <v>0.01</v>
      </c>
      <c r="N405" t="s">
        <v>1949</v>
      </c>
      <c r="O405" t="s">
        <v>1950</v>
      </c>
      <c r="P405" t="s">
        <v>1951</v>
      </c>
    </row>
    <row r="406" spans="1:16" x14ac:dyDescent="0.45">
      <c r="A406" t="s">
        <v>1952</v>
      </c>
      <c r="B406">
        <v>33</v>
      </c>
      <c r="C406" t="s">
        <v>17</v>
      </c>
      <c r="D406" t="s">
        <v>84</v>
      </c>
      <c r="E406">
        <v>1629.11</v>
      </c>
      <c r="F406">
        <v>11732.01</v>
      </c>
      <c r="G406" t="s">
        <v>19</v>
      </c>
      <c r="H406" s="1">
        <v>45098</v>
      </c>
      <c r="I406" s="1">
        <v>45335</v>
      </c>
      <c r="J406" t="s">
        <v>1953</v>
      </c>
      <c r="K406" t="s">
        <v>21</v>
      </c>
      <c r="L406" t="s">
        <v>22</v>
      </c>
      <c r="M406">
        <v>0.19</v>
      </c>
      <c r="N406" t="s">
        <v>1954</v>
      </c>
      <c r="O406" t="s">
        <v>1955</v>
      </c>
      <c r="P406" t="s">
        <v>1956</v>
      </c>
    </row>
    <row r="407" spans="1:16" x14ac:dyDescent="0.45">
      <c r="A407" t="s">
        <v>1957</v>
      </c>
      <c r="B407">
        <v>55</v>
      </c>
      <c r="C407" t="s">
        <v>40</v>
      </c>
      <c r="D407" t="s">
        <v>84</v>
      </c>
      <c r="E407">
        <v>1271.42</v>
      </c>
      <c r="F407">
        <v>469.98</v>
      </c>
      <c r="G407" t="s">
        <v>19</v>
      </c>
      <c r="H407" s="1">
        <v>45262</v>
      </c>
      <c r="I407" s="1">
        <v>45698</v>
      </c>
      <c r="J407" t="s">
        <v>1958</v>
      </c>
      <c r="K407" t="s">
        <v>28</v>
      </c>
      <c r="L407" t="s">
        <v>36</v>
      </c>
      <c r="M407">
        <v>0.5</v>
      </c>
      <c r="N407" t="s">
        <v>1959</v>
      </c>
      <c r="O407" t="s">
        <v>1960</v>
      </c>
      <c r="P407" t="s">
        <v>1961</v>
      </c>
    </row>
    <row r="408" spans="1:16" x14ac:dyDescent="0.45">
      <c r="A408" t="s">
        <v>1962</v>
      </c>
      <c r="B408">
        <v>66</v>
      </c>
      <c r="C408" t="s">
        <v>83</v>
      </c>
      <c r="D408" t="s">
        <v>33</v>
      </c>
      <c r="E408">
        <v>1018.25</v>
      </c>
      <c r="F408">
        <v>9857.7199999999993</v>
      </c>
      <c r="G408" t="s">
        <v>85</v>
      </c>
      <c r="H408" s="1">
        <v>45121</v>
      </c>
      <c r="I408" s="1">
        <v>45176</v>
      </c>
      <c r="J408" t="s">
        <v>1963</v>
      </c>
      <c r="K408" t="s">
        <v>21</v>
      </c>
      <c r="L408" t="s">
        <v>22</v>
      </c>
      <c r="M408">
        <v>0.43</v>
      </c>
      <c r="N408" t="s">
        <v>1964</v>
      </c>
      <c r="O408" t="s">
        <v>1965</v>
      </c>
      <c r="P408" t="s">
        <v>1966</v>
      </c>
    </row>
    <row r="409" spans="1:16" x14ac:dyDescent="0.45">
      <c r="A409" t="s">
        <v>1967</v>
      </c>
      <c r="B409">
        <v>46</v>
      </c>
      <c r="C409" t="s">
        <v>32</v>
      </c>
      <c r="D409" t="s">
        <v>33</v>
      </c>
      <c r="E409">
        <v>3038.21</v>
      </c>
      <c r="F409">
        <v>15399.21</v>
      </c>
      <c r="G409" t="s">
        <v>19</v>
      </c>
      <c r="H409" s="1">
        <v>44923</v>
      </c>
      <c r="I409" s="1">
        <v>45182</v>
      </c>
      <c r="J409" t="s">
        <v>1968</v>
      </c>
      <c r="K409" t="s">
        <v>50</v>
      </c>
      <c r="L409" t="s">
        <v>43</v>
      </c>
      <c r="M409">
        <v>0.99</v>
      </c>
      <c r="N409" t="s">
        <v>1969</v>
      </c>
      <c r="O409" t="s">
        <v>1970</v>
      </c>
      <c r="P409" t="s">
        <v>1971</v>
      </c>
    </row>
    <row r="410" spans="1:16" x14ac:dyDescent="0.45">
      <c r="A410" t="s">
        <v>1972</v>
      </c>
      <c r="B410">
        <v>69</v>
      </c>
      <c r="C410" t="s">
        <v>55</v>
      </c>
      <c r="D410" t="s">
        <v>67</v>
      </c>
      <c r="E410">
        <v>442.05</v>
      </c>
      <c r="F410">
        <v>5740.02</v>
      </c>
      <c r="G410" t="s">
        <v>19</v>
      </c>
      <c r="H410" s="1">
        <v>44935</v>
      </c>
      <c r="I410" s="1">
        <v>45425</v>
      </c>
      <c r="J410" t="s">
        <v>1973</v>
      </c>
      <c r="K410" t="s">
        <v>28</v>
      </c>
      <c r="L410" t="s">
        <v>43</v>
      </c>
      <c r="M410">
        <v>0.65</v>
      </c>
      <c r="N410" t="s">
        <v>1974</v>
      </c>
      <c r="O410">
        <v>756478874</v>
      </c>
      <c r="P410" t="s">
        <v>1975</v>
      </c>
    </row>
    <row r="411" spans="1:16" x14ac:dyDescent="0.45">
      <c r="A411" t="s">
        <v>1976</v>
      </c>
      <c r="B411">
        <v>38</v>
      </c>
      <c r="C411" t="s">
        <v>48</v>
      </c>
      <c r="D411" t="s">
        <v>84</v>
      </c>
      <c r="E411">
        <v>1573.35</v>
      </c>
      <c r="F411">
        <v>15095.54</v>
      </c>
      <c r="G411" t="s">
        <v>19</v>
      </c>
      <c r="H411" s="1">
        <v>44872</v>
      </c>
      <c r="I411" s="1">
        <v>45347</v>
      </c>
      <c r="J411" t="s">
        <v>1977</v>
      </c>
      <c r="K411" t="s">
        <v>21</v>
      </c>
      <c r="L411" t="s">
        <v>22</v>
      </c>
      <c r="M411">
        <v>0.94</v>
      </c>
      <c r="N411" t="s">
        <v>1978</v>
      </c>
      <c r="O411" t="s">
        <v>1979</v>
      </c>
      <c r="P411" t="s">
        <v>1980</v>
      </c>
    </row>
    <row r="412" spans="1:16" x14ac:dyDescent="0.45">
      <c r="A412" t="s">
        <v>1981</v>
      </c>
      <c r="B412">
        <v>29</v>
      </c>
      <c r="C412" t="s">
        <v>66</v>
      </c>
      <c r="D412" t="s">
        <v>41</v>
      </c>
      <c r="E412">
        <v>4973.84</v>
      </c>
      <c r="F412">
        <v>7093.74</v>
      </c>
      <c r="G412" t="s">
        <v>19</v>
      </c>
      <c r="H412" s="1">
        <v>44983</v>
      </c>
      <c r="I412" s="1">
        <v>45261</v>
      </c>
      <c r="J412" t="s">
        <v>1982</v>
      </c>
      <c r="K412" t="s">
        <v>28</v>
      </c>
      <c r="L412" t="s">
        <v>43</v>
      </c>
      <c r="M412">
        <v>0.96</v>
      </c>
      <c r="N412" t="s">
        <v>1983</v>
      </c>
      <c r="O412" t="s">
        <v>1984</v>
      </c>
      <c r="P412" t="s">
        <v>1985</v>
      </c>
    </row>
    <row r="413" spans="1:16" x14ac:dyDescent="0.45">
      <c r="A413" t="s">
        <v>1986</v>
      </c>
      <c r="B413">
        <v>43</v>
      </c>
      <c r="C413" t="s">
        <v>32</v>
      </c>
      <c r="D413" t="s">
        <v>84</v>
      </c>
      <c r="E413">
        <v>585.39</v>
      </c>
      <c r="F413">
        <v>10310.040000000001</v>
      </c>
      <c r="G413" t="s">
        <v>19</v>
      </c>
      <c r="H413" s="1">
        <v>44844</v>
      </c>
      <c r="I413" s="1">
        <v>45835</v>
      </c>
      <c r="J413" t="s">
        <v>1987</v>
      </c>
      <c r="K413" t="s">
        <v>28</v>
      </c>
      <c r="L413" t="s">
        <v>36</v>
      </c>
      <c r="M413">
        <v>0.39</v>
      </c>
      <c r="N413" t="s">
        <v>1988</v>
      </c>
      <c r="O413" t="s">
        <v>1989</v>
      </c>
      <c r="P413" t="s">
        <v>1990</v>
      </c>
    </row>
    <row r="414" spans="1:16" x14ac:dyDescent="0.45">
      <c r="A414" t="s">
        <v>1991</v>
      </c>
      <c r="B414">
        <v>41</v>
      </c>
      <c r="C414" t="s">
        <v>17</v>
      </c>
      <c r="D414" t="s">
        <v>33</v>
      </c>
      <c r="E414">
        <v>1742.51</v>
      </c>
      <c r="F414">
        <v>9958.35</v>
      </c>
      <c r="G414" t="s">
        <v>85</v>
      </c>
      <c r="H414" s="1">
        <v>45412</v>
      </c>
      <c r="I414" s="1">
        <v>45702</v>
      </c>
      <c r="J414" t="s">
        <v>1992</v>
      </c>
      <c r="K414" t="s">
        <v>21</v>
      </c>
      <c r="L414" t="s">
        <v>43</v>
      </c>
      <c r="M414">
        <v>0.35</v>
      </c>
      <c r="N414" t="s">
        <v>1993</v>
      </c>
      <c r="O414">
        <v>3418.0707000000002</v>
      </c>
      <c r="P414" t="s">
        <v>1994</v>
      </c>
    </row>
    <row r="415" spans="1:16" x14ac:dyDescent="0.45">
      <c r="A415" t="s">
        <v>1995</v>
      </c>
      <c r="B415">
        <v>67</v>
      </c>
      <c r="C415" t="s">
        <v>32</v>
      </c>
      <c r="D415" t="s">
        <v>33</v>
      </c>
      <c r="E415">
        <v>3653.39</v>
      </c>
      <c r="F415">
        <v>9450.27</v>
      </c>
      <c r="G415" t="s">
        <v>19</v>
      </c>
      <c r="H415" s="1">
        <v>45057</v>
      </c>
      <c r="I415" s="1">
        <v>45461</v>
      </c>
      <c r="J415" t="s">
        <v>1996</v>
      </c>
      <c r="K415" t="s">
        <v>50</v>
      </c>
      <c r="L415" t="s">
        <v>36</v>
      </c>
      <c r="M415">
        <v>0.54</v>
      </c>
      <c r="N415" t="s">
        <v>1997</v>
      </c>
      <c r="O415" t="s">
        <v>1998</v>
      </c>
      <c r="P415" t="s">
        <v>1999</v>
      </c>
    </row>
    <row r="416" spans="1:16" x14ac:dyDescent="0.45">
      <c r="A416" t="s">
        <v>2000</v>
      </c>
      <c r="B416">
        <v>75</v>
      </c>
      <c r="C416" t="s">
        <v>26</v>
      </c>
      <c r="D416" t="s">
        <v>18</v>
      </c>
      <c r="E416">
        <v>2973.12</v>
      </c>
      <c r="F416">
        <v>3201.21</v>
      </c>
      <c r="G416" t="s">
        <v>19</v>
      </c>
      <c r="H416" s="1">
        <v>45020</v>
      </c>
      <c r="I416" s="1">
        <v>45275</v>
      </c>
      <c r="J416" t="s">
        <v>2001</v>
      </c>
      <c r="K416" t="s">
        <v>28</v>
      </c>
      <c r="L416" t="s">
        <v>22</v>
      </c>
      <c r="M416">
        <v>0.37</v>
      </c>
      <c r="N416" t="s">
        <v>2002</v>
      </c>
      <c r="O416" t="s">
        <v>2003</v>
      </c>
      <c r="P416" t="s">
        <v>2004</v>
      </c>
    </row>
    <row r="417" spans="1:16" x14ac:dyDescent="0.45">
      <c r="A417" t="s">
        <v>2005</v>
      </c>
      <c r="B417">
        <v>61</v>
      </c>
      <c r="C417" t="s">
        <v>26</v>
      </c>
      <c r="D417" t="s">
        <v>67</v>
      </c>
      <c r="E417">
        <v>2372.5</v>
      </c>
      <c r="F417">
        <v>1495.47</v>
      </c>
      <c r="G417" t="s">
        <v>85</v>
      </c>
      <c r="H417" s="1">
        <v>44808</v>
      </c>
      <c r="I417" s="1">
        <v>45120</v>
      </c>
      <c r="J417" t="s">
        <v>2006</v>
      </c>
      <c r="K417" t="s">
        <v>28</v>
      </c>
      <c r="L417" t="s">
        <v>22</v>
      </c>
      <c r="M417">
        <v>0.95</v>
      </c>
      <c r="N417" t="s">
        <v>2007</v>
      </c>
      <c r="O417">
        <v>236726778</v>
      </c>
      <c r="P417" t="s">
        <v>2008</v>
      </c>
    </row>
    <row r="418" spans="1:16" x14ac:dyDescent="0.45">
      <c r="A418" t="s">
        <v>2009</v>
      </c>
      <c r="B418">
        <v>35</v>
      </c>
      <c r="C418" t="s">
        <v>83</v>
      </c>
      <c r="D418" t="s">
        <v>33</v>
      </c>
      <c r="E418">
        <v>1631.33</v>
      </c>
      <c r="F418">
        <v>536.75</v>
      </c>
      <c r="G418" t="s">
        <v>19</v>
      </c>
      <c r="H418" s="1">
        <v>45044</v>
      </c>
      <c r="I418" s="1">
        <v>45742</v>
      </c>
      <c r="J418" t="s">
        <v>2010</v>
      </c>
      <c r="K418" t="s">
        <v>50</v>
      </c>
      <c r="L418" t="s">
        <v>36</v>
      </c>
      <c r="M418">
        <v>0.42</v>
      </c>
      <c r="N418" t="s">
        <v>2011</v>
      </c>
      <c r="O418" t="s">
        <v>2012</v>
      </c>
      <c r="P418" t="s">
        <v>2013</v>
      </c>
    </row>
    <row r="419" spans="1:16" x14ac:dyDescent="0.45">
      <c r="A419" t="s">
        <v>2014</v>
      </c>
      <c r="B419">
        <v>39</v>
      </c>
      <c r="C419" t="s">
        <v>40</v>
      </c>
      <c r="D419" t="s">
        <v>67</v>
      </c>
      <c r="E419">
        <v>1637.58</v>
      </c>
      <c r="F419">
        <v>17565.919999999998</v>
      </c>
      <c r="G419" t="s">
        <v>85</v>
      </c>
      <c r="H419" s="1">
        <v>45454</v>
      </c>
      <c r="I419" s="1">
        <v>45705</v>
      </c>
      <c r="J419" t="s">
        <v>2015</v>
      </c>
      <c r="K419" t="s">
        <v>21</v>
      </c>
      <c r="L419" t="s">
        <v>22</v>
      </c>
      <c r="M419">
        <v>0.88</v>
      </c>
      <c r="N419" t="s">
        <v>2016</v>
      </c>
      <c r="O419" t="s">
        <v>2017</v>
      </c>
      <c r="P419" t="s">
        <v>2018</v>
      </c>
    </row>
    <row r="420" spans="1:16" x14ac:dyDescent="0.45">
      <c r="A420" t="s">
        <v>2019</v>
      </c>
      <c r="B420">
        <v>50</v>
      </c>
      <c r="C420" t="s">
        <v>83</v>
      </c>
      <c r="D420" t="s">
        <v>18</v>
      </c>
      <c r="E420">
        <v>4050.13</v>
      </c>
      <c r="F420">
        <v>19831.07</v>
      </c>
      <c r="G420" t="s">
        <v>19</v>
      </c>
      <c r="H420" s="1">
        <v>45305</v>
      </c>
      <c r="I420" s="1">
        <v>45742</v>
      </c>
      <c r="J420" t="s">
        <v>2020</v>
      </c>
      <c r="K420" t="s">
        <v>21</v>
      </c>
      <c r="L420" t="s">
        <v>22</v>
      </c>
      <c r="M420">
        <v>0.56999999999999995</v>
      </c>
      <c r="N420" t="s">
        <v>2021</v>
      </c>
      <c r="O420" t="s">
        <v>2022</v>
      </c>
      <c r="P420" t="s">
        <v>2023</v>
      </c>
    </row>
    <row r="421" spans="1:16" x14ac:dyDescent="0.45">
      <c r="A421" t="s">
        <v>2024</v>
      </c>
      <c r="B421">
        <v>54</v>
      </c>
      <c r="C421" t="s">
        <v>17</v>
      </c>
      <c r="D421" t="s">
        <v>18</v>
      </c>
      <c r="E421">
        <v>2734.14</v>
      </c>
      <c r="F421">
        <v>14937.72</v>
      </c>
      <c r="G421" t="s">
        <v>85</v>
      </c>
      <c r="H421" s="1">
        <v>45240</v>
      </c>
      <c r="I421" s="1">
        <v>45811</v>
      </c>
      <c r="J421" t="s">
        <v>2025</v>
      </c>
      <c r="K421" t="s">
        <v>21</v>
      </c>
      <c r="L421" t="s">
        <v>43</v>
      </c>
      <c r="M421">
        <v>0.71</v>
      </c>
      <c r="N421" t="s">
        <v>2026</v>
      </c>
      <c r="O421" t="s">
        <v>2027</v>
      </c>
      <c r="P421" t="s">
        <v>2028</v>
      </c>
    </row>
    <row r="422" spans="1:16" x14ac:dyDescent="0.45">
      <c r="A422" t="s">
        <v>2029</v>
      </c>
      <c r="B422">
        <v>24</v>
      </c>
      <c r="C422" t="s">
        <v>32</v>
      </c>
      <c r="D422" t="s">
        <v>18</v>
      </c>
      <c r="E422">
        <v>1499.36</v>
      </c>
      <c r="F422">
        <v>15997.88</v>
      </c>
      <c r="G422" t="s">
        <v>19</v>
      </c>
      <c r="H422" s="1">
        <v>45183</v>
      </c>
      <c r="I422" s="1">
        <v>45863</v>
      </c>
      <c r="J422" t="s">
        <v>2030</v>
      </c>
      <c r="K422" t="s">
        <v>28</v>
      </c>
      <c r="L422" t="s">
        <v>22</v>
      </c>
      <c r="M422">
        <v>0.52</v>
      </c>
      <c r="N422" t="s">
        <v>2031</v>
      </c>
      <c r="O422" t="s">
        <v>2032</v>
      </c>
      <c r="P422" t="s">
        <v>2033</v>
      </c>
    </row>
    <row r="423" spans="1:16" x14ac:dyDescent="0.45">
      <c r="A423" t="s">
        <v>2034</v>
      </c>
      <c r="B423">
        <v>44</v>
      </c>
      <c r="C423" t="s">
        <v>66</v>
      </c>
      <c r="D423" t="s">
        <v>84</v>
      </c>
      <c r="E423">
        <v>3464.06</v>
      </c>
      <c r="F423">
        <v>8392.8700000000008</v>
      </c>
      <c r="G423" t="s">
        <v>19</v>
      </c>
      <c r="H423" s="1">
        <v>45441</v>
      </c>
      <c r="I423" s="1">
        <v>45671</v>
      </c>
      <c r="J423" t="s">
        <v>2035</v>
      </c>
      <c r="K423" t="s">
        <v>50</v>
      </c>
      <c r="L423" t="s">
        <v>22</v>
      </c>
      <c r="M423">
        <v>0.68</v>
      </c>
      <c r="N423" t="s">
        <v>2036</v>
      </c>
      <c r="O423" t="s">
        <v>2037</v>
      </c>
      <c r="P423" t="s">
        <v>2038</v>
      </c>
    </row>
    <row r="424" spans="1:16" x14ac:dyDescent="0.45">
      <c r="A424" t="s">
        <v>2039</v>
      </c>
      <c r="B424">
        <v>61</v>
      </c>
      <c r="C424" t="s">
        <v>66</v>
      </c>
      <c r="D424" t="s">
        <v>33</v>
      </c>
      <c r="E424">
        <v>357.38</v>
      </c>
      <c r="F424">
        <v>8417.14</v>
      </c>
      <c r="G424" t="s">
        <v>85</v>
      </c>
      <c r="H424" s="1">
        <v>44854</v>
      </c>
      <c r="I424" s="1">
        <v>45290</v>
      </c>
      <c r="J424" t="s">
        <v>2040</v>
      </c>
      <c r="K424" t="s">
        <v>50</v>
      </c>
      <c r="L424" t="s">
        <v>22</v>
      </c>
      <c r="M424">
        <v>0.39</v>
      </c>
      <c r="N424" t="s">
        <v>2041</v>
      </c>
      <c r="O424">
        <v>8576.2222999999994</v>
      </c>
      <c r="P424" t="s">
        <v>2042</v>
      </c>
    </row>
    <row r="425" spans="1:16" x14ac:dyDescent="0.45">
      <c r="A425" t="s">
        <v>2043</v>
      </c>
      <c r="B425">
        <v>56</v>
      </c>
      <c r="C425" t="s">
        <v>40</v>
      </c>
      <c r="D425" t="s">
        <v>84</v>
      </c>
      <c r="E425">
        <v>1090.07</v>
      </c>
      <c r="F425">
        <v>16681.03</v>
      </c>
      <c r="G425" t="s">
        <v>19</v>
      </c>
      <c r="H425" s="1">
        <v>45400</v>
      </c>
      <c r="I425" s="1">
        <v>45477</v>
      </c>
      <c r="J425" t="s">
        <v>2044</v>
      </c>
      <c r="K425" t="s">
        <v>21</v>
      </c>
      <c r="L425" t="s">
        <v>22</v>
      </c>
      <c r="M425">
        <v>0.01</v>
      </c>
      <c r="N425" t="s">
        <v>2045</v>
      </c>
      <c r="O425">
        <f>61-2-4156-932</f>
        <v>-5029</v>
      </c>
      <c r="P425" t="s">
        <v>2046</v>
      </c>
    </row>
    <row r="426" spans="1:16" x14ac:dyDescent="0.45">
      <c r="A426" t="s">
        <v>2047</v>
      </c>
      <c r="B426">
        <v>59</v>
      </c>
      <c r="C426" t="s">
        <v>66</v>
      </c>
      <c r="D426" t="s">
        <v>33</v>
      </c>
      <c r="E426">
        <v>3751.43</v>
      </c>
      <c r="F426">
        <v>8278.1</v>
      </c>
      <c r="G426" t="s">
        <v>85</v>
      </c>
      <c r="H426" s="1">
        <v>44789</v>
      </c>
      <c r="I426" s="1">
        <v>45628</v>
      </c>
      <c r="J426" t="s">
        <v>2048</v>
      </c>
      <c r="K426" t="s">
        <v>35</v>
      </c>
      <c r="L426" t="s">
        <v>36</v>
      </c>
      <c r="M426">
        <v>0.28000000000000003</v>
      </c>
      <c r="N426" t="s">
        <v>2049</v>
      </c>
      <c r="O426" t="s">
        <v>2050</v>
      </c>
      <c r="P426" t="s">
        <v>2051</v>
      </c>
    </row>
    <row r="427" spans="1:16" x14ac:dyDescent="0.45">
      <c r="A427" t="s">
        <v>2052</v>
      </c>
      <c r="B427">
        <v>32</v>
      </c>
      <c r="C427" t="s">
        <v>26</v>
      </c>
      <c r="D427" t="s">
        <v>84</v>
      </c>
      <c r="E427">
        <v>1250.6400000000001</v>
      </c>
      <c r="F427">
        <v>2003.26</v>
      </c>
      <c r="G427" t="s">
        <v>104</v>
      </c>
      <c r="H427" s="1">
        <v>44870</v>
      </c>
      <c r="I427" s="1">
        <v>45295</v>
      </c>
      <c r="J427" t="s">
        <v>2053</v>
      </c>
      <c r="K427" t="s">
        <v>50</v>
      </c>
      <c r="L427" t="s">
        <v>43</v>
      </c>
      <c r="M427">
        <v>0.11</v>
      </c>
      <c r="N427" t="s">
        <v>2054</v>
      </c>
      <c r="O427" t="s">
        <v>2055</v>
      </c>
      <c r="P427" t="s">
        <v>2056</v>
      </c>
    </row>
    <row r="428" spans="1:16" x14ac:dyDescent="0.45">
      <c r="A428" t="s">
        <v>2057</v>
      </c>
      <c r="B428">
        <v>48</v>
      </c>
      <c r="C428" t="s">
        <v>26</v>
      </c>
      <c r="D428" t="s">
        <v>33</v>
      </c>
      <c r="E428">
        <v>3377.81</v>
      </c>
      <c r="F428">
        <v>16508.77</v>
      </c>
      <c r="G428" t="s">
        <v>104</v>
      </c>
      <c r="H428" s="1">
        <v>45182</v>
      </c>
      <c r="I428" s="1">
        <v>45542</v>
      </c>
      <c r="J428" t="s">
        <v>2058</v>
      </c>
      <c r="K428" t="s">
        <v>21</v>
      </c>
      <c r="L428" t="s">
        <v>22</v>
      </c>
      <c r="M428">
        <v>0.2</v>
      </c>
      <c r="N428" t="s">
        <v>2059</v>
      </c>
      <c r="O428">
        <v>347530976</v>
      </c>
      <c r="P428" t="s">
        <v>2060</v>
      </c>
    </row>
    <row r="429" spans="1:16" x14ac:dyDescent="0.45">
      <c r="A429" t="s">
        <v>2061</v>
      </c>
      <c r="B429">
        <v>57</v>
      </c>
      <c r="C429" t="s">
        <v>26</v>
      </c>
      <c r="D429" t="s">
        <v>84</v>
      </c>
      <c r="E429">
        <v>2929.95</v>
      </c>
      <c r="F429">
        <v>1861.56</v>
      </c>
      <c r="G429" t="s">
        <v>85</v>
      </c>
      <c r="H429" s="1">
        <v>45423</v>
      </c>
      <c r="I429" s="1">
        <v>45626</v>
      </c>
      <c r="J429" t="s">
        <v>2062</v>
      </c>
      <c r="K429" t="s">
        <v>50</v>
      </c>
      <c r="L429" t="s">
        <v>22</v>
      </c>
      <c r="M429">
        <v>0.64</v>
      </c>
      <c r="N429" t="s">
        <v>2063</v>
      </c>
      <c r="O429" t="s">
        <v>2064</v>
      </c>
      <c r="P429" t="s">
        <v>2065</v>
      </c>
    </row>
    <row r="430" spans="1:16" x14ac:dyDescent="0.45">
      <c r="A430" t="s">
        <v>2066</v>
      </c>
      <c r="B430">
        <v>29</v>
      </c>
      <c r="C430" t="s">
        <v>48</v>
      </c>
      <c r="D430" t="s">
        <v>18</v>
      </c>
      <c r="E430">
        <v>4909.62</v>
      </c>
      <c r="F430">
        <v>13689.12</v>
      </c>
      <c r="G430" t="s">
        <v>19</v>
      </c>
      <c r="H430" s="1">
        <v>44790</v>
      </c>
      <c r="I430" s="1">
        <v>45615</v>
      </c>
      <c r="J430" t="s">
        <v>2067</v>
      </c>
      <c r="K430" t="s">
        <v>28</v>
      </c>
      <c r="L430" t="s">
        <v>36</v>
      </c>
      <c r="M430">
        <v>0.51</v>
      </c>
      <c r="N430" t="s">
        <v>2068</v>
      </c>
      <c r="O430" t="s">
        <v>2069</v>
      </c>
      <c r="P430" t="s">
        <v>2070</v>
      </c>
    </row>
    <row r="431" spans="1:16" x14ac:dyDescent="0.45">
      <c r="A431" t="s">
        <v>2071</v>
      </c>
      <c r="B431">
        <v>34</v>
      </c>
      <c r="C431" t="s">
        <v>40</v>
      </c>
      <c r="D431" t="s">
        <v>41</v>
      </c>
      <c r="E431">
        <v>650.02</v>
      </c>
      <c r="F431">
        <v>16022.91</v>
      </c>
      <c r="G431" t="s">
        <v>19</v>
      </c>
      <c r="H431" s="1">
        <v>45351</v>
      </c>
      <c r="I431" s="1">
        <v>45477</v>
      </c>
      <c r="J431" t="s">
        <v>2072</v>
      </c>
      <c r="K431" t="s">
        <v>28</v>
      </c>
      <c r="L431" t="s">
        <v>22</v>
      </c>
      <c r="M431">
        <v>0.1</v>
      </c>
      <c r="N431" t="s">
        <v>2073</v>
      </c>
      <c r="O431" t="s">
        <v>2074</v>
      </c>
      <c r="P431" t="s">
        <v>2075</v>
      </c>
    </row>
    <row r="432" spans="1:16" x14ac:dyDescent="0.45">
      <c r="A432" t="s">
        <v>2076</v>
      </c>
      <c r="B432">
        <v>26</v>
      </c>
      <c r="C432" t="s">
        <v>48</v>
      </c>
      <c r="D432" t="s">
        <v>67</v>
      </c>
      <c r="E432">
        <v>3735.04</v>
      </c>
      <c r="F432">
        <v>18679.18</v>
      </c>
      <c r="G432" t="s">
        <v>19</v>
      </c>
      <c r="H432" s="1">
        <v>45173</v>
      </c>
      <c r="I432" s="1">
        <v>45846</v>
      </c>
      <c r="J432" t="s">
        <v>2077</v>
      </c>
      <c r="K432" t="s">
        <v>21</v>
      </c>
      <c r="L432" t="s">
        <v>22</v>
      </c>
      <c r="M432">
        <v>0.16</v>
      </c>
      <c r="N432" t="s">
        <v>2078</v>
      </c>
      <c r="O432" t="s">
        <v>2079</v>
      </c>
      <c r="P432" t="s">
        <v>2080</v>
      </c>
    </row>
    <row r="433" spans="1:16" x14ac:dyDescent="0.45">
      <c r="A433" t="s">
        <v>2081</v>
      </c>
      <c r="B433">
        <v>58</v>
      </c>
      <c r="C433" t="s">
        <v>32</v>
      </c>
      <c r="D433" t="s">
        <v>18</v>
      </c>
      <c r="E433">
        <v>2883.85</v>
      </c>
      <c r="F433">
        <v>8878.56</v>
      </c>
      <c r="G433" t="s">
        <v>19</v>
      </c>
      <c r="H433" s="1">
        <v>44950</v>
      </c>
      <c r="I433" s="1">
        <v>45658</v>
      </c>
      <c r="J433" t="s">
        <v>2082</v>
      </c>
      <c r="K433" t="s">
        <v>21</v>
      </c>
      <c r="L433" t="s">
        <v>22</v>
      </c>
      <c r="M433">
        <v>0.61</v>
      </c>
      <c r="N433" t="s">
        <v>2083</v>
      </c>
      <c r="O433" t="s">
        <v>2084</v>
      </c>
      <c r="P433" t="s">
        <v>2085</v>
      </c>
    </row>
    <row r="434" spans="1:16" x14ac:dyDescent="0.45">
      <c r="A434" t="s">
        <v>2086</v>
      </c>
      <c r="B434">
        <v>66</v>
      </c>
      <c r="C434" t="s">
        <v>83</v>
      </c>
      <c r="D434" t="s">
        <v>33</v>
      </c>
      <c r="E434">
        <v>4569.29</v>
      </c>
      <c r="F434">
        <v>18266.8</v>
      </c>
      <c r="G434" t="s">
        <v>19</v>
      </c>
      <c r="H434" s="1">
        <v>44962</v>
      </c>
      <c r="I434" s="1">
        <v>45479</v>
      </c>
      <c r="J434" t="s">
        <v>2087</v>
      </c>
      <c r="K434" t="s">
        <v>21</v>
      </c>
      <c r="L434" t="s">
        <v>36</v>
      </c>
      <c r="M434">
        <v>0.24</v>
      </c>
      <c r="N434" t="s">
        <v>2088</v>
      </c>
      <c r="O434" t="s">
        <v>2089</v>
      </c>
      <c r="P434" t="s">
        <v>2090</v>
      </c>
    </row>
    <row r="435" spans="1:16" x14ac:dyDescent="0.45">
      <c r="A435" t="s">
        <v>2091</v>
      </c>
      <c r="B435">
        <v>27</v>
      </c>
      <c r="C435" t="s">
        <v>55</v>
      </c>
      <c r="D435" t="s">
        <v>67</v>
      </c>
      <c r="E435">
        <v>4322.1499999999996</v>
      </c>
      <c r="F435">
        <v>18993.87</v>
      </c>
      <c r="G435" t="s">
        <v>104</v>
      </c>
      <c r="H435" s="1">
        <v>45203</v>
      </c>
      <c r="I435" s="1">
        <v>45818</v>
      </c>
      <c r="J435" t="s">
        <v>2092</v>
      </c>
      <c r="K435" t="s">
        <v>35</v>
      </c>
      <c r="L435" t="s">
        <v>22</v>
      </c>
      <c r="M435">
        <v>0.42</v>
      </c>
      <c r="N435" t="s">
        <v>2093</v>
      </c>
      <c r="O435" t="s">
        <v>2094</v>
      </c>
      <c r="P435" t="s">
        <v>2095</v>
      </c>
    </row>
    <row r="436" spans="1:16" x14ac:dyDescent="0.45">
      <c r="A436" t="s">
        <v>2096</v>
      </c>
      <c r="B436">
        <v>45</v>
      </c>
      <c r="C436" t="s">
        <v>17</v>
      </c>
      <c r="D436" t="s">
        <v>18</v>
      </c>
      <c r="E436">
        <v>4979.9399999999996</v>
      </c>
      <c r="F436">
        <v>10204.719999999999</v>
      </c>
      <c r="G436" t="s">
        <v>19</v>
      </c>
      <c r="H436" s="1">
        <v>45070</v>
      </c>
      <c r="I436" s="1">
        <v>45496</v>
      </c>
      <c r="J436" t="s">
        <v>2097</v>
      </c>
      <c r="K436" t="s">
        <v>50</v>
      </c>
      <c r="L436" t="s">
        <v>22</v>
      </c>
      <c r="M436">
        <v>0.73</v>
      </c>
      <c r="N436" t="s">
        <v>2098</v>
      </c>
      <c r="O436" t="s">
        <v>2099</v>
      </c>
      <c r="P436" t="s">
        <v>2100</v>
      </c>
    </row>
    <row r="437" spans="1:16" x14ac:dyDescent="0.45">
      <c r="A437" t="s">
        <v>2101</v>
      </c>
      <c r="B437">
        <v>24</v>
      </c>
      <c r="C437" t="s">
        <v>26</v>
      </c>
      <c r="D437" t="s">
        <v>84</v>
      </c>
      <c r="E437">
        <v>487.97</v>
      </c>
      <c r="F437">
        <v>5222.72</v>
      </c>
      <c r="G437" t="s">
        <v>19</v>
      </c>
      <c r="H437" s="1">
        <v>45440</v>
      </c>
      <c r="I437" s="1">
        <v>45844</v>
      </c>
      <c r="J437" t="s">
        <v>2102</v>
      </c>
      <c r="K437" t="s">
        <v>21</v>
      </c>
      <c r="L437" t="s">
        <v>43</v>
      </c>
      <c r="M437">
        <v>0.32</v>
      </c>
      <c r="N437" t="s">
        <v>2103</v>
      </c>
      <c r="O437" t="s">
        <v>2104</v>
      </c>
      <c r="P437" t="s">
        <v>2105</v>
      </c>
    </row>
    <row r="438" spans="1:16" x14ac:dyDescent="0.45">
      <c r="A438" t="s">
        <v>2106</v>
      </c>
      <c r="B438">
        <v>69</v>
      </c>
      <c r="C438" t="s">
        <v>55</v>
      </c>
      <c r="D438" t="s">
        <v>33</v>
      </c>
      <c r="E438">
        <v>2393.8000000000002</v>
      </c>
      <c r="F438">
        <v>5002.4799999999996</v>
      </c>
      <c r="G438" t="s">
        <v>19</v>
      </c>
      <c r="H438" s="1">
        <v>45412</v>
      </c>
      <c r="I438" s="1">
        <v>45822</v>
      </c>
      <c r="J438" t="s">
        <v>2107</v>
      </c>
      <c r="K438" t="s">
        <v>50</v>
      </c>
      <c r="L438" t="s">
        <v>22</v>
      </c>
      <c r="M438">
        <v>0.33</v>
      </c>
      <c r="N438" t="s">
        <v>2108</v>
      </c>
      <c r="O438" t="s">
        <v>2109</v>
      </c>
      <c r="P438" t="s">
        <v>2110</v>
      </c>
    </row>
    <row r="439" spans="1:16" x14ac:dyDescent="0.45">
      <c r="A439" t="s">
        <v>2111</v>
      </c>
      <c r="B439">
        <v>18</v>
      </c>
      <c r="C439" t="s">
        <v>32</v>
      </c>
      <c r="D439" t="s">
        <v>84</v>
      </c>
      <c r="E439">
        <v>1533.63</v>
      </c>
      <c r="F439">
        <v>15560.24</v>
      </c>
      <c r="G439" t="s">
        <v>19</v>
      </c>
      <c r="H439" s="1">
        <v>45204</v>
      </c>
      <c r="I439" s="1">
        <v>45238</v>
      </c>
      <c r="J439" t="s">
        <v>2112</v>
      </c>
      <c r="K439" t="s">
        <v>28</v>
      </c>
      <c r="L439" t="s">
        <v>43</v>
      </c>
      <c r="M439">
        <v>0.73</v>
      </c>
      <c r="N439" t="s">
        <v>2113</v>
      </c>
      <c r="O439" t="s">
        <v>2114</v>
      </c>
      <c r="P439" t="s">
        <v>2115</v>
      </c>
    </row>
    <row r="440" spans="1:16" x14ac:dyDescent="0.45">
      <c r="A440" t="s">
        <v>2116</v>
      </c>
      <c r="B440">
        <v>75</v>
      </c>
      <c r="C440" t="s">
        <v>83</v>
      </c>
      <c r="D440" t="s">
        <v>67</v>
      </c>
      <c r="E440">
        <v>646.64</v>
      </c>
      <c r="F440">
        <v>16127.74</v>
      </c>
      <c r="G440" t="s">
        <v>85</v>
      </c>
      <c r="H440" s="1">
        <v>45364</v>
      </c>
      <c r="I440" s="1">
        <v>45737</v>
      </c>
      <c r="J440" t="s">
        <v>2117</v>
      </c>
      <c r="K440" t="s">
        <v>28</v>
      </c>
      <c r="L440" t="s">
        <v>36</v>
      </c>
      <c r="M440">
        <v>0.36</v>
      </c>
      <c r="N440" t="s">
        <v>2118</v>
      </c>
      <c r="O440" t="s">
        <v>2119</v>
      </c>
      <c r="P440" t="s">
        <v>2120</v>
      </c>
    </row>
    <row r="441" spans="1:16" x14ac:dyDescent="0.45">
      <c r="A441" t="s">
        <v>2121</v>
      </c>
      <c r="B441">
        <v>32</v>
      </c>
      <c r="C441" t="s">
        <v>66</v>
      </c>
      <c r="D441" t="s">
        <v>33</v>
      </c>
      <c r="E441">
        <v>998.69</v>
      </c>
      <c r="F441">
        <v>15286.35</v>
      </c>
      <c r="G441" t="s">
        <v>104</v>
      </c>
      <c r="H441" s="1">
        <v>45000</v>
      </c>
      <c r="I441" s="1">
        <v>45756</v>
      </c>
      <c r="J441" t="s">
        <v>2122</v>
      </c>
      <c r="K441" t="s">
        <v>50</v>
      </c>
      <c r="L441" t="s">
        <v>43</v>
      </c>
      <c r="M441">
        <v>0.48</v>
      </c>
      <c r="N441" t="s">
        <v>2123</v>
      </c>
      <c r="O441">
        <v>61717579976</v>
      </c>
      <c r="P441" t="s">
        <v>2124</v>
      </c>
    </row>
    <row r="442" spans="1:16" x14ac:dyDescent="0.45">
      <c r="A442" t="s">
        <v>2125</v>
      </c>
      <c r="B442">
        <v>33</v>
      </c>
      <c r="C442" t="s">
        <v>40</v>
      </c>
      <c r="D442" t="s">
        <v>67</v>
      </c>
      <c r="E442">
        <v>3372.71</v>
      </c>
      <c r="F442">
        <v>2971.72</v>
      </c>
      <c r="G442" t="s">
        <v>19</v>
      </c>
      <c r="H442" s="1">
        <v>45416</v>
      </c>
      <c r="I442" s="1">
        <v>45460</v>
      </c>
      <c r="J442" t="s">
        <v>2126</v>
      </c>
      <c r="K442" t="s">
        <v>35</v>
      </c>
      <c r="L442" t="s">
        <v>36</v>
      </c>
      <c r="M442">
        <v>0.35</v>
      </c>
      <c r="N442" t="s">
        <v>2127</v>
      </c>
      <c r="O442">
        <v>47904912</v>
      </c>
      <c r="P442" t="s">
        <v>2128</v>
      </c>
    </row>
    <row r="443" spans="1:16" x14ac:dyDescent="0.45">
      <c r="A443" t="s">
        <v>1371</v>
      </c>
      <c r="B443">
        <v>67</v>
      </c>
      <c r="C443" t="s">
        <v>40</v>
      </c>
      <c r="D443" t="s">
        <v>84</v>
      </c>
      <c r="E443">
        <v>2957.14</v>
      </c>
      <c r="F443">
        <v>13218.47</v>
      </c>
      <c r="G443" t="s">
        <v>19</v>
      </c>
      <c r="H443" s="1">
        <v>45300</v>
      </c>
      <c r="I443" s="1">
        <v>45526</v>
      </c>
      <c r="J443" t="s">
        <v>2129</v>
      </c>
      <c r="K443" t="s">
        <v>21</v>
      </c>
      <c r="L443" t="s">
        <v>43</v>
      </c>
      <c r="M443">
        <v>0.44</v>
      </c>
      <c r="N443" t="s">
        <v>2130</v>
      </c>
      <c r="O443">
        <f>61-449-872-189</f>
        <v>-1449</v>
      </c>
      <c r="P443" t="s">
        <v>2131</v>
      </c>
    </row>
    <row r="444" spans="1:16" x14ac:dyDescent="0.45">
      <c r="A444" t="s">
        <v>2132</v>
      </c>
      <c r="B444">
        <v>27</v>
      </c>
      <c r="C444" t="s">
        <v>66</v>
      </c>
      <c r="D444" t="s">
        <v>18</v>
      </c>
      <c r="E444">
        <v>1827.29</v>
      </c>
      <c r="F444">
        <v>15845.35</v>
      </c>
      <c r="G444" t="s">
        <v>85</v>
      </c>
      <c r="H444" s="1">
        <v>45066</v>
      </c>
      <c r="I444" s="1">
        <v>45782</v>
      </c>
      <c r="J444" t="s">
        <v>2133</v>
      </c>
      <c r="K444" t="s">
        <v>28</v>
      </c>
      <c r="L444" t="s">
        <v>43</v>
      </c>
      <c r="M444">
        <v>0.55000000000000004</v>
      </c>
      <c r="N444" t="s">
        <v>2134</v>
      </c>
      <c r="O444" t="s">
        <v>2135</v>
      </c>
      <c r="P444" t="s">
        <v>2136</v>
      </c>
    </row>
    <row r="445" spans="1:16" x14ac:dyDescent="0.45">
      <c r="A445" t="s">
        <v>2137</v>
      </c>
      <c r="B445">
        <v>55</v>
      </c>
      <c r="C445" t="s">
        <v>48</v>
      </c>
      <c r="D445" t="s">
        <v>84</v>
      </c>
      <c r="E445">
        <v>2190.38</v>
      </c>
      <c r="F445">
        <v>4444.13</v>
      </c>
      <c r="G445" t="s">
        <v>19</v>
      </c>
      <c r="H445" s="1">
        <v>45404</v>
      </c>
      <c r="I445" s="1">
        <v>45511</v>
      </c>
      <c r="J445" t="s">
        <v>2138</v>
      </c>
      <c r="K445" t="s">
        <v>50</v>
      </c>
      <c r="L445" t="s">
        <v>43</v>
      </c>
      <c r="M445">
        <v>0.02</v>
      </c>
      <c r="N445" t="s">
        <v>2139</v>
      </c>
      <c r="O445" t="s">
        <v>2140</v>
      </c>
      <c r="P445" t="s">
        <v>2141</v>
      </c>
    </row>
    <row r="446" spans="1:16" x14ac:dyDescent="0.45">
      <c r="A446" t="s">
        <v>2142</v>
      </c>
      <c r="B446">
        <v>33</v>
      </c>
      <c r="C446" t="s">
        <v>17</v>
      </c>
      <c r="D446" t="s">
        <v>84</v>
      </c>
      <c r="E446">
        <v>1723.67</v>
      </c>
      <c r="F446">
        <v>19841.82</v>
      </c>
      <c r="G446" t="s">
        <v>85</v>
      </c>
      <c r="H446" s="1">
        <v>44853</v>
      </c>
      <c r="I446" s="1">
        <v>45348</v>
      </c>
      <c r="J446" t="s">
        <v>2143</v>
      </c>
      <c r="K446" t="s">
        <v>28</v>
      </c>
      <c r="L446" t="s">
        <v>22</v>
      </c>
      <c r="M446">
        <v>0.11</v>
      </c>
      <c r="N446" t="s">
        <v>2144</v>
      </c>
      <c r="O446" t="s">
        <v>2145</v>
      </c>
      <c r="P446" t="s">
        <v>2146</v>
      </c>
    </row>
    <row r="447" spans="1:16" x14ac:dyDescent="0.45">
      <c r="A447" t="s">
        <v>2147</v>
      </c>
      <c r="B447">
        <v>34</v>
      </c>
      <c r="C447" t="s">
        <v>66</v>
      </c>
      <c r="D447" t="s">
        <v>18</v>
      </c>
      <c r="E447">
        <v>3032.77</v>
      </c>
      <c r="F447">
        <v>18904.740000000002</v>
      </c>
      <c r="G447" t="s">
        <v>104</v>
      </c>
      <c r="H447" s="1">
        <v>45066</v>
      </c>
      <c r="I447" s="1">
        <v>45761</v>
      </c>
      <c r="J447" t="s">
        <v>2148</v>
      </c>
      <c r="K447" t="s">
        <v>35</v>
      </c>
      <c r="L447" t="s">
        <v>43</v>
      </c>
      <c r="M447">
        <v>0.81</v>
      </c>
      <c r="N447" t="s">
        <v>2149</v>
      </c>
      <c r="O447">
        <f>61-7-6405-7820</f>
        <v>-14171</v>
      </c>
      <c r="P447" t="s">
        <v>2150</v>
      </c>
    </row>
    <row r="448" spans="1:16" x14ac:dyDescent="0.45">
      <c r="A448" t="s">
        <v>2151</v>
      </c>
      <c r="B448">
        <v>70</v>
      </c>
      <c r="C448" t="s">
        <v>55</v>
      </c>
      <c r="D448" t="s">
        <v>18</v>
      </c>
      <c r="E448">
        <v>2569.66</v>
      </c>
      <c r="F448">
        <v>580.03</v>
      </c>
      <c r="G448" t="s">
        <v>85</v>
      </c>
      <c r="H448" s="1">
        <v>45000</v>
      </c>
      <c r="I448" s="1">
        <v>45828</v>
      </c>
      <c r="J448" t="s">
        <v>2152</v>
      </c>
      <c r="K448" t="s">
        <v>28</v>
      </c>
      <c r="L448" t="s">
        <v>22</v>
      </c>
      <c r="M448">
        <v>0.11</v>
      </c>
      <c r="N448" t="s">
        <v>2153</v>
      </c>
      <c r="O448" t="s">
        <v>2154</v>
      </c>
      <c r="P448" t="s">
        <v>2155</v>
      </c>
    </row>
    <row r="449" spans="1:16" x14ac:dyDescent="0.45">
      <c r="A449" t="s">
        <v>2156</v>
      </c>
      <c r="B449">
        <v>38</v>
      </c>
      <c r="C449" t="s">
        <v>83</v>
      </c>
      <c r="D449" t="s">
        <v>33</v>
      </c>
      <c r="E449">
        <v>2051.15</v>
      </c>
      <c r="F449">
        <v>6747.79</v>
      </c>
      <c r="G449" t="s">
        <v>104</v>
      </c>
      <c r="H449" s="1">
        <v>45496</v>
      </c>
      <c r="I449" s="1">
        <v>45629</v>
      </c>
      <c r="J449" t="s">
        <v>2157</v>
      </c>
      <c r="K449" t="s">
        <v>28</v>
      </c>
      <c r="L449" t="s">
        <v>22</v>
      </c>
      <c r="M449">
        <v>0.39</v>
      </c>
      <c r="N449" t="s">
        <v>2158</v>
      </c>
      <c r="O449" t="s">
        <v>2159</v>
      </c>
      <c r="P449" t="s">
        <v>2160</v>
      </c>
    </row>
    <row r="450" spans="1:16" x14ac:dyDescent="0.45">
      <c r="A450" t="s">
        <v>2161</v>
      </c>
      <c r="B450">
        <v>75</v>
      </c>
      <c r="C450" t="s">
        <v>66</v>
      </c>
      <c r="D450" t="s">
        <v>18</v>
      </c>
      <c r="E450">
        <v>4882.3</v>
      </c>
      <c r="F450">
        <v>15703.87</v>
      </c>
      <c r="G450" t="s">
        <v>19</v>
      </c>
      <c r="H450" s="1">
        <v>45039</v>
      </c>
      <c r="I450" s="1">
        <v>45727</v>
      </c>
      <c r="J450" t="s">
        <v>2162</v>
      </c>
      <c r="K450" t="s">
        <v>28</v>
      </c>
      <c r="L450" t="s">
        <v>22</v>
      </c>
      <c r="M450">
        <v>0.57999999999999996</v>
      </c>
      <c r="N450" t="s">
        <v>2163</v>
      </c>
      <c r="O450" t="s">
        <v>2164</v>
      </c>
      <c r="P450" t="s">
        <v>2165</v>
      </c>
    </row>
    <row r="451" spans="1:16" x14ac:dyDescent="0.45">
      <c r="A451" t="s">
        <v>2166</v>
      </c>
      <c r="B451">
        <v>45</v>
      </c>
      <c r="C451" t="s">
        <v>83</v>
      </c>
      <c r="D451" t="s">
        <v>41</v>
      </c>
      <c r="E451">
        <v>4968.04</v>
      </c>
      <c r="F451">
        <v>7529.09</v>
      </c>
      <c r="G451" t="s">
        <v>104</v>
      </c>
      <c r="H451" s="1">
        <v>45093</v>
      </c>
      <c r="I451" s="1">
        <v>45477</v>
      </c>
      <c r="J451" t="s">
        <v>2167</v>
      </c>
      <c r="K451" t="s">
        <v>50</v>
      </c>
      <c r="L451" t="s">
        <v>43</v>
      </c>
      <c r="M451">
        <v>0.17</v>
      </c>
      <c r="N451" t="s">
        <v>2168</v>
      </c>
      <c r="O451" t="s">
        <v>2169</v>
      </c>
      <c r="P451" t="s">
        <v>2170</v>
      </c>
    </row>
    <row r="452" spans="1:16" x14ac:dyDescent="0.45">
      <c r="A452" t="s">
        <v>2171</v>
      </c>
      <c r="B452">
        <v>74</v>
      </c>
      <c r="C452" t="s">
        <v>17</v>
      </c>
      <c r="D452" t="s">
        <v>18</v>
      </c>
      <c r="E452">
        <v>3194.51</v>
      </c>
      <c r="F452">
        <v>15222.34</v>
      </c>
      <c r="G452" t="s">
        <v>19</v>
      </c>
      <c r="H452" s="1">
        <v>45238</v>
      </c>
      <c r="I452" s="1">
        <v>45768</v>
      </c>
      <c r="J452" t="s">
        <v>2172</v>
      </c>
      <c r="K452" t="s">
        <v>21</v>
      </c>
      <c r="L452" t="s">
        <v>36</v>
      </c>
      <c r="M452">
        <v>0.06</v>
      </c>
      <c r="N452" t="s">
        <v>2173</v>
      </c>
      <c r="O452" t="s">
        <v>2174</v>
      </c>
      <c r="P452" t="s">
        <v>2175</v>
      </c>
    </row>
    <row r="453" spans="1:16" x14ac:dyDescent="0.45">
      <c r="A453" t="s">
        <v>2176</v>
      </c>
      <c r="B453">
        <v>20</v>
      </c>
      <c r="C453" t="s">
        <v>40</v>
      </c>
      <c r="D453" t="s">
        <v>67</v>
      </c>
      <c r="E453">
        <v>757.47</v>
      </c>
      <c r="F453">
        <v>17442.66</v>
      </c>
      <c r="G453" t="s">
        <v>104</v>
      </c>
      <c r="H453" s="1">
        <v>45172</v>
      </c>
      <c r="I453" s="1">
        <v>45790</v>
      </c>
      <c r="J453" t="s">
        <v>2177</v>
      </c>
      <c r="K453" t="s">
        <v>21</v>
      </c>
      <c r="L453" t="s">
        <v>43</v>
      </c>
      <c r="M453">
        <v>0.24</v>
      </c>
      <c r="N453" t="s">
        <v>2178</v>
      </c>
      <c r="O453" t="s">
        <v>2179</v>
      </c>
      <c r="P453" t="s">
        <v>2180</v>
      </c>
    </row>
    <row r="454" spans="1:16" x14ac:dyDescent="0.45">
      <c r="A454" t="s">
        <v>2181</v>
      </c>
      <c r="B454">
        <v>64</v>
      </c>
      <c r="C454" t="s">
        <v>55</v>
      </c>
      <c r="D454" t="s">
        <v>67</v>
      </c>
      <c r="E454">
        <v>3552.7</v>
      </c>
      <c r="F454">
        <v>18003.87</v>
      </c>
      <c r="G454" t="s">
        <v>19</v>
      </c>
      <c r="H454" s="1">
        <v>45137</v>
      </c>
      <c r="I454" s="1">
        <v>45599</v>
      </c>
      <c r="J454" t="s">
        <v>2182</v>
      </c>
      <c r="K454" t="s">
        <v>21</v>
      </c>
      <c r="L454" t="s">
        <v>43</v>
      </c>
      <c r="M454">
        <v>0.53</v>
      </c>
      <c r="N454" t="s">
        <v>2183</v>
      </c>
      <c r="O454">
        <v>385383989</v>
      </c>
      <c r="P454" t="s">
        <v>2184</v>
      </c>
    </row>
    <row r="455" spans="1:16" x14ac:dyDescent="0.45">
      <c r="A455" t="s">
        <v>2185</v>
      </c>
      <c r="B455">
        <v>22</v>
      </c>
      <c r="C455" t="s">
        <v>17</v>
      </c>
      <c r="D455" t="s">
        <v>84</v>
      </c>
      <c r="E455">
        <v>4641.2700000000004</v>
      </c>
      <c r="F455">
        <v>844.98</v>
      </c>
      <c r="G455" t="s">
        <v>19</v>
      </c>
      <c r="H455" s="1">
        <v>45016</v>
      </c>
      <c r="I455" s="1">
        <v>45593</v>
      </c>
      <c r="J455" t="s">
        <v>2186</v>
      </c>
      <c r="K455" t="s">
        <v>28</v>
      </c>
      <c r="L455" t="s">
        <v>36</v>
      </c>
      <c r="M455">
        <v>7.0000000000000007E-2</v>
      </c>
      <c r="N455" t="s">
        <v>2187</v>
      </c>
      <c r="O455" t="s">
        <v>2188</v>
      </c>
      <c r="P455" t="s">
        <v>2189</v>
      </c>
    </row>
    <row r="456" spans="1:16" x14ac:dyDescent="0.45">
      <c r="A456" t="s">
        <v>2190</v>
      </c>
      <c r="B456">
        <v>42</v>
      </c>
      <c r="C456" t="s">
        <v>17</v>
      </c>
      <c r="D456" t="s">
        <v>67</v>
      </c>
      <c r="E456">
        <v>2508.5700000000002</v>
      </c>
      <c r="F456">
        <v>5995.42</v>
      </c>
      <c r="G456" t="s">
        <v>85</v>
      </c>
      <c r="H456" s="1">
        <v>45006</v>
      </c>
      <c r="I456" s="1">
        <v>45513</v>
      </c>
      <c r="J456" t="s">
        <v>2191</v>
      </c>
      <c r="K456" t="s">
        <v>21</v>
      </c>
      <c r="L456" t="s">
        <v>22</v>
      </c>
      <c r="M456">
        <v>0.55000000000000004</v>
      </c>
      <c r="N456" t="s">
        <v>2192</v>
      </c>
      <c r="O456">
        <f>61-3-7628-5901</f>
        <v>-13471</v>
      </c>
      <c r="P456" t="s">
        <v>2193</v>
      </c>
    </row>
    <row r="457" spans="1:16" x14ac:dyDescent="0.45">
      <c r="A457" t="s">
        <v>2194</v>
      </c>
      <c r="B457">
        <v>24</v>
      </c>
      <c r="C457" t="s">
        <v>66</v>
      </c>
      <c r="D457" t="s">
        <v>41</v>
      </c>
      <c r="E457">
        <v>4805.1000000000004</v>
      </c>
      <c r="F457">
        <v>11709.25</v>
      </c>
      <c r="G457" t="s">
        <v>19</v>
      </c>
      <c r="H457" s="1">
        <v>44814</v>
      </c>
      <c r="I457" s="1">
        <v>45340</v>
      </c>
      <c r="J457" t="s">
        <v>2195</v>
      </c>
      <c r="K457" t="s">
        <v>21</v>
      </c>
      <c r="L457" t="s">
        <v>22</v>
      </c>
      <c r="M457">
        <v>0.83</v>
      </c>
      <c r="N457" t="s">
        <v>2196</v>
      </c>
      <c r="O457" t="s">
        <v>2197</v>
      </c>
      <c r="P457" t="s">
        <v>2198</v>
      </c>
    </row>
    <row r="458" spans="1:16" x14ac:dyDescent="0.45">
      <c r="A458" t="s">
        <v>2199</v>
      </c>
      <c r="B458">
        <v>25</v>
      </c>
      <c r="C458" t="s">
        <v>83</v>
      </c>
      <c r="D458" t="s">
        <v>84</v>
      </c>
      <c r="E458">
        <v>3101.81</v>
      </c>
      <c r="F458">
        <v>18116</v>
      </c>
      <c r="G458" t="s">
        <v>85</v>
      </c>
      <c r="H458" s="1">
        <v>45024</v>
      </c>
      <c r="I458" s="1">
        <v>45403</v>
      </c>
      <c r="J458" t="s">
        <v>2200</v>
      </c>
      <c r="K458" t="s">
        <v>28</v>
      </c>
      <c r="L458" t="s">
        <v>36</v>
      </c>
      <c r="M458">
        <v>0.09</v>
      </c>
      <c r="N458" t="s">
        <v>2201</v>
      </c>
      <c r="O458" t="s">
        <v>2202</v>
      </c>
      <c r="P458" t="s">
        <v>2203</v>
      </c>
    </row>
    <row r="459" spans="1:16" x14ac:dyDescent="0.45">
      <c r="A459" t="s">
        <v>2204</v>
      </c>
      <c r="B459">
        <v>26</v>
      </c>
      <c r="C459" t="s">
        <v>83</v>
      </c>
      <c r="D459" t="s">
        <v>18</v>
      </c>
      <c r="E459">
        <v>645.05999999999995</v>
      </c>
      <c r="F459">
        <v>11200.4</v>
      </c>
      <c r="G459" t="s">
        <v>104</v>
      </c>
      <c r="H459" s="1">
        <v>45345</v>
      </c>
      <c r="I459" s="1">
        <v>45761</v>
      </c>
      <c r="J459" t="s">
        <v>2205</v>
      </c>
      <c r="K459" t="s">
        <v>21</v>
      </c>
      <c r="L459" t="s">
        <v>43</v>
      </c>
      <c r="M459">
        <v>0.79</v>
      </c>
      <c r="N459" t="s">
        <v>2206</v>
      </c>
      <c r="O459" t="s">
        <v>2207</v>
      </c>
      <c r="P459" t="s">
        <v>2208</v>
      </c>
    </row>
    <row r="460" spans="1:16" x14ac:dyDescent="0.45">
      <c r="A460" t="s">
        <v>2209</v>
      </c>
      <c r="B460">
        <v>68</v>
      </c>
      <c r="C460" t="s">
        <v>17</v>
      </c>
      <c r="D460" t="s">
        <v>84</v>
      </c>
      <c r="E460">
        <v>2887.19</v>
      </c>
      <c r="F460">
        <v>12168.1</v>
      </c>
      <c r="G460" t="s">
        <v>19</v>
      </c>
      <c r="H460" s="1">
        <v>45048</v>
      </c>
      <c r="I460" s="1">
        <v>45235</v>
      </c>
      <c r="J460" t="s">
        <v>2210</v>
      </c>
      <c r="K460" t="s">
        <v>35</v>
      </c>
      <c r="L460" t="s">
        <v>22</v>
      </c>
      <c r="M460">
        <v>0.7</v>
      </c>
      <c r="N460" t="s">
        <v>2211</v>
      </c>
      <c r="O460" t="s">
        <v>2212</v>
      </c>
      <c r="P460" t="s">
        <v>2213</v>
      </c>
    </row>
    <row r="461" spans="1:16" x14ac:dyDescent="0.45">
      <c r="A461" t="s">
        <v>2214</v>
      </c>
      <c r="B461">
        <v>53</v>
      </c>
      <c r="C461" t="s">
        <v>83</v>
      </c>
      <c r="D461" t="s">
        <v>41</v>
      </c>
      <c r="E461">
        <v>2311.7199999999998</v>
      </c>
      <c r="F461">
        <v>3424.02</v>
      </c>
      <c r="G461" t="s">
        <v>85</v>
      </c>
      <c r="H461" s="1">
        <v>44802</v>
      </c>
      <c r="I461" s="1">
        <v>44966</v>
      </c>
      <c r="J461" t="s">
        <v>2215</v>
      </c>
      <c r="K461" t="s">
        <v>35</v>
      </c>
      <c r="L461" t="s">
        <v>36</v>
      </c>
      <c r="M461">
        <v>0.61</v>
      </c>
      <c r="N461" t="s">
        <v>2216</v>
      </c>
      <c r="O461">
        <v>29949232</v>
      </c>
      <c r="P461" t="s">
        <v>2217</v>
      </c>
    </row>
    <row r="462" spans="1:16" x14ac:dyDescent="0.45">
      <c r="A462" t="s">
        <v>2218</v>
      </c>
      <c r="B462">
        <v>60</v>
      </c>
      <c r="C462" t="s">
        <v>66</v>
      </c>
      <c r="D462" t="s">
        <v>84</v>
      </c>
      <c r="E462">
        <v>475.16</v>
      </c>
      <c r="F462">
        <v>8456.93</v>
      </c>
      <c r="G462" t="s">
        <v>19</v>
      </c>
      <c r="H462" s="1">
        <v>44966</v>
      </c>
      <c r="I462" s="1">
        <v>45173</v>
      </c>
      <c r="J462" t="s">
        <v>2219</v>
      </c>
      <c r="K462" t="s">
        <v>50</v>
      </c>
      <c r="L462" t="s">
        <v>43</v>
      </c>
      <c r="M462">
        <v>0.02</v>
      </c>
      <c r="N462" t="s">
        <v>2220</v>
      </c>
      <c r="O462" t="s">
        <v>2221</v>
      </c>
      <c r="P462" t="s">
        <v>2222</v>
      </c>
    </row>
    <row r="463" spans="1:16" x14ac:dyDescent="0.45">
      <c r="A463" t="s">
        <v>2223</v>
      </c>
      <c r="B463">
        <v>64</v>
      </c>
      <c r="C463" t="s">
        <v>55</v>
      </c>
      <c r="D463" t="s">
        <v>67</v>
      </c>
      <c r="E463">
        <v>2082.1799999999998</v>
      </c>
      <c r="F463">
        <v>10443.01</v>
      </c>
      <c r="G463" t="s">
        <v>85</v>
      </c>
      <c r="H463" s="1">
        <v>44886</v>
      </c>
      <c r="I463" s="1">
        <v>45072</v>
      </c>
      <c r="J463" t="s">
        <v>2224</v>
      </c>
      <c r="K463" t="s">
        <v>21</v>
      </c>
      <c r="L463" t="s">
        <v>43</v>
      </c>
      <c r="M463">
        <v>0.7</v>
      </c>
      <c r="N463" t="s">
        <v>2225</v>
      </c>
      <c r="O463" t="s">
        <v>2226</v>
      </c>
      <c r="P463" t="s">
        <v>2227</v>
      </c>
    </row>
    <row r="464" spans="1:16" x14ac:dyDescent="0.45">
      <c r="A464" t="s">
        <v>2228</v>
      </c>
      <c r="B464">
        <v>45</v>
      </c>
      <c r="C464" t="s">
        <v>55</v>
      </c>
      <c r="D464" t="s">
        <v>33</v>
      </c>
      <c r="E464">
        <v>1079.3</v>
      </c>
      <c r="F464">
        <v>19463.919999999998</v>
      </c>
      <c r="G464" t="s">
        <v>19</v>
      </c>
      <c r="H464" s="1">
        <v>45473</v>
      </c>
      <c r="I464" s="1">
        <v>45481</v>
      </c>
      <c r="J464" t="s">
        <v>2229</v>
      </c>
      <c r="K464" t="s">
        <v>35</v>
      </c>
      <c r="L464" t="s">
        <v>43</v>
      </c>
      <c r="M464">
        <v>0.86</v>
      </c>
      <c r="N464" t="s">
        <v>2230</v>
      </c>
      <c r="O464">
        <v>306854924</v>
      </c>
      <c r="P464" t="s">
        <v>2231</v>
      </c>
    </row>
    <row r="465" spans="1:16" x14ac:dyDescent="0.45">
      <c r="A465" t="s">
        <v>2232</v>
      </c>
      <c r="B465">
        <v>36</v>
      </c>
      <c r="C465" t="s">
        <v>40</v>
      </c>
      <c r="D465" t="s">
        <v>18</v>
      </c>
      <c r="E465">
        <v>551.72</v>
      </c>
      <c r="F465">
        <v>910.78</v>
      </c>
      <c r="G465" t="s">
        <v>104</v>
      </c>
      <c r="H465" s="1">
        <v>45288</v>
      </c>
      <c r="I465" s="1">
        <v>45752</v>
      </c>
      <c r="J465" t="s">
        <v>2233</v>
      </c>
      <c r="K465" t="s">
        <v>35</v>
      </c>
      <c r="L465" t="s">
        <v>22</v>
      </c>
      <c r="M465">
        <v>0.52</v>
      </c>
      <c r="N465" t="s">
        <v>2234</v>
      </c>
      <c r="O465">
        <v>61212367859</v>
      </c>
      <c r="P465" t="s">
        <v>2235</v>
      </c>
    </row>
    <row r="466" spans="1:16" x14ac:dyDescent="0.45">
      <c r="A466" t="s">
        <v>2236</v>
      </c>
      <c r="B466">
        <v>62</v>
      </c>
      <c r="C466" t="s">
        <v>32</v>
      </c>
      <c r="D466" t="s">
        <v>67</v>
      </c>
      <c r="E466">
        <v>1232.95</v>
      </c>
      <c r="F466">
        <v>12850.86</v>
      </c>
      <c r="G466" t="s">
        <v>19</v>
      </c>
      <c r="H466" s="1">
        <v>45389</v>
      </c>
      <c r="I466" s="1">
        <v>45494</v>
      </c>
      <c r="J466" t="s">
        <v>2237</v>
      </c>
      <c r="K466" t="s">
        <v>28</v>
      </c>
      <c r="L466" t="s">
        <v>36</v>
      </c>
      <c r="M466">
        <v>0.81</v>
      </c>
      <c r="N466" t="s">
        <v>2238</v>
      </c>
      <c r="O466" t="s">
        <v>2239</v>
      </c>
      <c r="P466" t="s">
        <v>2240</v>
      </c>
    </row>
    <row r="467" spans="1:16" x14ac:dyDescent="0.45">
      <c r="A467" t="s">
        <v>2241</v>
      </c>
      <c r="B467">
        <v>21</v>
      </c>
      <c r="C467" t="s">
        <v>32</v>
      </c>
      <c r="D467" t="s">
        <v>18</v>
      </c>
      <c r="E467">
        <v>1309.96</v>
      </c>
      <c r="F467">
        <v>101.38</v>
      </c>
      <c r="G467" t="s">
        <v>19</v>
      </c>
      <c r="H467" s="1">
        <v>44860</v>
      </c>
      <c r="I467" s="1">
        <v>45795</v>
      </c>
      <c r="J467" t="s">
        <v>2242</v>
      </c>
      <c r="K467" t="s">
        <v>28</v>
      </c>
      <c r="L467" t="s">
        <v>22</v>
      </c>
      <c r="M467">
        <v>0.92</v>
      </c>
      <c r="N467" t="s">
        <v>2243</v>
      </c>
      <c r="O467" t="s">
        <v>2244</v>
      </c>
      <c r="P467" t="s">
        <v>2245</v>
      </c>
    </row>
    <row r="468" spans="1:16" x14ac:dyDescent="0.45">
      <c r="A468" t="s">
        <v>2246</v>
      </c>
      <c r="B468">
        <v>46</v>
      </c>
      <c r="C468" t="s">
        <v>55</v>
      </c>
      <c r="D468" t="s">
        <v>18</v>
      </c>
      <c r="E468">
        <v>3506.25</v>
      </c>
      <c r="F468">
        <v>11326.85</v>
      </c>
      <c r="G468" t="s">
        <v>19</v>
      </c>
      <c r="H468" s="1">
        <v>45445</v>
      </c>
      <c r="I468" s="1">
        <v>45808</v>
      </c>
      <c r="J468" t="s">
        <v>2247</v>
      </c>
      <c r="K468" t="s">
        <v>35</v>
      </c>
      <c r="L468" t="s">
        <v>22</v>
      </c>
      <c r="M468">
        <v>0.65</v>
      </c>
      <c r="N468" t="s">
        <v>2248</v>
      </c>
      <c r="O468">
        <v>59971112</v>
      </c>
      <c r="P468" t="s">
        <v>2249</v>
      </c>
    </row>
    <row r="469" spans="1:16" x14ac:dyDescent="0.45">
      <c r="A469" t="s">
        <v>2250</v>
      </c>
      <c r="B469">
        <v>71</v>
      </c>
      <c r="C469" t="s">
        <v>40</v>
      </c>
      <c r="D469" t="s">
        <v>41</v>
      </c>
      <c r="E469">
        <v>2363.38</v>
      </c>
      <c r="F469">
        <v>8771.07</v>
      </c>
      <c r="G469" t="s">
        <v>19</v>
      </c>
      <c r="H469" s="1">
        <v>45165</v>
      </c>
      <c r="I469" s="1">
        <v>45849</v>
      </c>
      <c r="J469" t="s">
        <v>2251</v>
      </c>
      <c r="K469" t="s">
        <v>21</v>
      </c>
      <c r="L469" t="s">
        <v>22</v>
      </c>
      <c r="M469">
        <v>0.45</v>
      </c>
      <c r="N469" t="s">
        <v>2252</v>
      </c>
      <c r="O469" t="s">
        <v>2253</v>
      </c>
      <c r="P469" t="s">
        <v>2254</v>
      </c>
    </row>
    <row r="470" spans="1:16" x14ac:dyDescent="0.45">
      <c r="A470" t="s">
        <v>2255</v>
      </c>
      <c r="B470">
        <v>64</v>
      </c>
      <c r="C470" t="s">
        <v>55</v>
      </c>
      <c r="D470" t="s">
        <v>33</v>
      </c>
      <c r="E470">
        <v>753.07</v>
      </c>
      <c r="F470">
        <v>4013.55</v>
      </c>
      <c r="G470" t="s">
        <v>19</v>
      </c>
      <c r="H470" s="1">
        <v>44875</v>
      </c>
      <c r="I470" s="1">
        <v>45701</v>
      </c>
      <c r="J470" t="s">
        <v>2256</v>
      </c>
      <c r="K470" t="s">
        <v>50</v>
      </c>
      <c r="L470" t="s">
        <v>43</v>
      </c>
      <c r="M470">
        <v>0.56000000000000005</v>
      </c>
      <c r="N470" t="s">
        <v>2257</v>
      </c>
      <c r="O470" t="s">
        <v>2258</v>
      </c>
      <c r="P470" t="s">
        <v>2259</v>
      </c>
    </row>
    <row r="471" spans="1:16" x14ac:dyDescent="0.45">
      <c r="A471" t="s">
        <v>2260</v>
      </c>
      <c r="B471">
        <v>40</v>
      </c>
      <c r="C471" t="s">
        <v>32</v>
      </c>
      <c r="D471" t="s">
        <v>67</v>
      </c>
      <c r="E471">
        <v>2785.54</v>
      </c>
      <c r="F471">
        <v>16450.29</v>
      </c>
      <c r="G471" t="s">
        <v>104</v>
      </c>
      <c r="H471" s="1">
        <v>45446</v>
      </c>
      <c r="I471" s="1">
        <v>45579</v>
      </c>
      <c r="J471" t="s">
        <v>2261</v>
      </c>
      <c r="K471" t="s">
        <v>28</v>
      </c>
      <c r="L471" t="s">
        <v>36</v>
      </c>
      <c r="M471">
        <v>0.81</v>
      </c>
      <c r="N471" t="s">
        <v>2262</v>
      </c>
      <c r="O471" t="s">
        <v>2263</v>
      </c>
      <c r="P471" t="s">
        <v>2264</v>
      </c>
    </row>
    <row r="472" spans="1:16" x14ac:dyDescent="0.45">
      <c r="A472" t="s">
        <v>2265</v>
      </c>
      <c r="B472">
        <v>62</v>
      </c>
      <c r="C472" t="s">
        <v>40</v>
      </c>
      <c r="D472" t="s">
        <v>67</v>
      </c>
      <c r="E472">
        <v>1769.35</v>
      </c>
      <c r="F472">
        <v>8055.89</v>
      </c>
      <c r="G472" t="s">
        <v>19</v>
      </c>
      <c r="H472" s="1">
        <v>44952</v>
      </c>
      <c r="I472" s="1">
        <v>45386</v>
      </c>
      <c r="J472" t="s">
        <v>2266</v>
      </c>
      <c r="K472" t="s">
        <v>50</v>
      </c>
      <c r="L472" t="s">
        <v>43</v>
      </c>
      <c r="M472">
        <v>0.62</v>
      </c>
      <c r="N472" t="s">
        <v>2267</v>
      </c>
      <c r="O472" t="s">
        <v>2268</v>
      </c>
      <c r="P472" t="s">
        <v>2269</v>
      </c>
    </row>
    <row r="473" spans="1:16" x14ac:dyDescent="0.45">
      <c r="A473" t="s">
        <v>2270</v>
      </c>
      <c r="B473">
        <v>38</v>
      </c>
      <c r="C473" t="s">
        <v>48</v>
      </c>
      <c r="D473" t="s">
        <v>67</v>
      </c>
      <c r="E473">
        <v>3130.36</v>
      </c>
      <c r="F473">
        <v>18681.419999999998</v>
      </c>
      <c r="G473" t="s">
        <v>19</v>
      </c>
      <c r="H473" s="1">
        <v>45451</v>
      </c>
      <c r="I473" s="1">
        <v>45717</v>
      </c>
      <c r="J473" t="s">
        <v>2271</v>
      </c>
      <c r="K473" t="s">
        <v>21</v>
      </c>
      <c r="L473" t="s">
        <v>22</v>
      </c>
      <c r="M473">
        <v>0.62</v>
      </c>
      <c r="N473" t="s">
        <v>2272</v>
      </c>
      <c r="O473">
        <v>259673897</v>
      </c>
      <c r="P473" t="s">
        <v>2273</v>
      </c>
    </row>
    <row r="474" spans="1:16" x14ac:dyDescent="0.45">
      <c r="A474" t="s">
        <v>2274</v>
      </c>
      <c r="B474">
        <v>27</v>
      </c>
      <c r="C474" t="s">
        <v>55</v>
      </c>
      <c r="D474" t="s">
        <v>33</v>
      </c>
      <c r="E474">
        <v>1901.84</v>
      </c>
      <c r="F474">
        <v>7953.18</v>
      </c>
      <c r="G474" t="s">
        <v>85</v>
      </c>
      <c r="H474" s="1">
        <v>45405</v>
      </c>
      <c r="I474" s="1">
        <v>45786</v>
      </c>
      <c r="J474" t="s">
        <v>2275</v>
      </c>
      <c r="K474" t="s">
        <v>28</v>
      </c>
      <c r="L474" t="s">
        <v>22</v>
      </c>
      <c r="M474">
        <v>0.5</v>
      </c>
      <c r="N474" t="s">
        <v>2276</v>
      </c>
      <c r="O474" t="s">
        <v>2277</v>
      </c>
      <c r="P474" t="s">
        <v>2278</v>
      </c>
    </row>
    <row r="475" spans="1:16" x14ac:dyDescent="0.45">
      <c r="A475" t="s">
        <v>2279</v>
      </c>
      <c r="B475">
        <v>19</v>
      </c>
      <c r="C475" t="s">
        <v>66</v>
      </c>
      <c r="D475" t="s">
        <v>84</v>
      </c>
      <c r="E475">
        <v>4240.1099999999997</v>
      </c>
      <c r="F475">
        <v>14630.49</v>
      </c>
      <c r="G475" t="s">
        <v>104</v>
      </c>
      <c r="H475" s="1">
        <v>44913</v>
      </c>
      <c r="I475" s="1">
        <v>45376</v>
      </c>
      <c r="J475" t="s">
        <v>2280</v>
      </c>
      <c r="K475" t="s">
        <v>35</v>
      </c>
      <c r="L475" t="s">
        <v>43</v>
      </c>
      <c r="M475">
        <v>0.63</v>
      </c>
      <c r="N475" t="s">
        <v>2281</v>
      </c>
      <c r="O475">
        <f>61-478-796-850</f>
        <v>-2063</v>
      </c>
      <c r="P475" t="s">
        <v>2282</v>
      </c>
    </row>
    <row r="476" spans="1:16" x14ac:dyDescent="0.45">
      <c r="A476" t="s">
        <v>2283</v>
      </c>
      <c r="B476">
        <v>71</v>
      </c>
      <c r="C476" t="s">
        <v>26</v>
      </c>
      <c r="D476" t="s">
        <v>18</v>
      </c>
      <c r="E476">
        <v>4944.24</v>
      </c>
      <c r="F476">
        <v>23.52</v>
      </c>
      <c r="G476" t="s">
        <v>85</v>
      </c>
      <c r="H476" s="1">
        <v>45426</v>
      </c>
      <c r="I476" s="1">
        <v>45741</v>
      </c>
      <c r="J476" t="s">
        <v>2284</v>
      </c>
      <c r="K476" t="s">
        <v>35</v>
      </c>
      <c r="L476" t="s">
        <v>22</v>
      </c>
      <c r="M476">
        <v>0.9</v>
      </c>
      <c r="N476" t="s">
        <v>2285</v>
      </c>
      <c r="O476" t="s">
        <v>2286</v>
      </c>
      <c r="P476" t="s">
        <v>2287</v>
      </c>
    </row>
    <row r="477" spans="1:16" x14ac:dyDescent="0.45">
      <c r="A477" t="s">
        <v>2288</v>
      </c>
      <c r="B477">
        <v>55</v>
      </c>
      <c r="C477" t="s">
        <v>48</v>
      </c>
      <c r="D477" t="s">
        <v>33</v>
      </c>
      <c r="E477">
        <v>1133.75</v>
      </c>
      <c r="F477">
        <v>6999.81</v>
      </c>
      <c r="G477" t="s">
        <v>19</v>
      </c>
      <c r="H477" s="1">
        <v>45301</v>
      </c>
      <c r="I477" s="1">
        <v>45632</v>
      </c>
      <c r="J477" t="s">
        <v>2289</v>
      </c>
      <c r="K477" t="s">
        <v>50</v>
      </c>
      <c r="L477" t="s">
        <v>36</v>
      </c>
      <c r="M477">
        <v>0.77</v>
      </c>
      <c r="N477" t="s">
        <v>2290</v>
      </c>
      <c r="O477" t="s">
        <v>2291</v>
      </c>
      <c r="P477" t="s">
        <v>2292</v>
      </c>
    </row>
    <row r="478" spans="1:16" x14ac:dyDescent="0.45">
      <c r="A478" t="s">
        <v>2293</v>
      </c>
      <c r="B478">
        <v>51</v>
      </c>
      <c r="C478" t="s">
        <v>83</v>
      </c>
      <c r="D478" t="s">
        <v>67</v>
      </c>
      <c r="E478">
        <v>1525.45</v>
      </c>
      <c r="F478">
        <v>9878.4599999999991</v>
      </c>
      <c r="G478" t="s">
        <v>85</v>
      </c>
      <c r="H478" s="1">
        <v>45090</v>
      </c>
      <c r="I478" s="1">
        <v>45453</v>
      </c>
      <c r="J478" t="s">
        <v>2294</v>
      </c>
      <c r="K478" t="s">
        <v>28</v>
      </c>
      <c r="L478" t="s">
        <v>22</v>
      </c>
      <c r="M478">
        <v>0.39</v>
      </c>
      <c r="N478" t="s">
        <v>2295</v>
      </c>
      <c r="O478" t="s">
        <v>2296</v>
      </c>
      <c r="P478" t="s">
        <v>2297</v>
      </c>
    </row>
    <row r="479" spans="1:16" x14ac:dyDescent="0.45">
      <c r="A479" t="s">
        <v>2298</v>
      </c>
      <c r="B479">
        <v>61</v>
      </c>
      <c r="C479" t="s">
        <v>32</v>
      </c>
      <c r="D479" t="s">
        <v>33</v>
      </c>
      <c r="E479">
        <v>3916.6</v>
      </c>
      <c r="F479">
        <v>1468.65</v>
      </c>
      <c r="G479" t="s">
        <v>19</v>
      </c>
      <c r="H479" s="1">
        <v>45196</v>
      </c>
      <c r="I479" s="1">
        <v>45460</v>
      </c>
      <c r="J479" t="s">
        <v>2299</v>
      </c>
      <c r="K479" t="s">
        <v>35</v>
      </c>
      <c r="L479" t="s">
        <v>22</v>
      </c>
      <c r="M479">
        <v>0.32</v>
      </c>
      <c r="N479" t="s">
        <v>2300</v>
      </c>
      <c r="O479" t="s">
        <v>2301</v>
      </c>
      <c r="P479" t="s">
        <v>2302</v>
      </c>
    </row>
    <row r="480" spans="1:16" x14ac:dyDescent="0.45">
      <c r="A480" t="s">
        <v>2303</v>
      </c>
      <c r="B480">
        <v>23</v>
      </c>
      <c r="C480" t="s">
        <v>40</v>
      </c>
      <c r="D480" t="s">
        <v>41</v>
      </c>
      <c r="E480">
        <v>1108.05</v>
      </c>
      <c r="F480">
        <v>1068.3800000000001</v>
      </c>
      <c r="G480" t="s">
        <v>85</v>
      </c>
      <c r="H480" s="1">
        <v>45339</v>
      </c>
      <c r="I480" s="1">
        <v>45657</v>
      </c>
      <c r="J480" t="s">
        <v>2304</v>
      </c>
      <c r="K480" t="s">
        <v>50</v>
      </c>
      <c r="L480" t="s">
        <v>36</v>
      </c>
      <c r="M480">
        <v>0.44</v>
      </c>
      <c r="N480" t="s">
        <v>2305</v>
      </c>
      <c r="O480" t="s">
        <v>2306</v>
      </c>
      <c r="P480" t="s">
        <v>2307</v>
      </c>
    </row>
    <row r="481" spans="1:16" x14ac:dyDescent="0.45">
      <c r="A481" t="s">
        <v>2308</v>
      </c>
      <c r="B481">
        <v>31</v>
      </c>
      <c r="C481" t="s">
        <v>66</v>
      </c>
      <c r="D481" t="s">
        <v>41</v>
      </c>
      <c r="E481">
        <v>965.52</v>
      </c>
      <c r="F481">
        <v>1640.98</v>
      </c>
      <c r="G481" t="s">
        <v>104</v>
      </c>
      <c r="H481" s="1">
        <v>44981</v>
      </c>
      <c r="I481" s="1">
        <v>45706</v>
      </c>
      <c r="J481" t="s">
        <v>2309</v>
      </c>
      <c r="K481" t="s">
        <v>28</v>
      </c>
      <c r="L481" t="s">
        <v>36</v>
      </c>
      <c r="M481">
        <v>0.84</v>
      </c>
      <c r="N481" t="s">
        <v>2310</v>
      </c>
      <c r="O481" t="s">
        <v>2311</v>
      </c>
      <c r="P481" t="s">
        <v>2312</v>
      </c>
    </row>
    <row r="482" spans="1:16" x14ac:dyDescent="0.45">
      <c r="A482" t="s">
        <v>2313</v>
      </c>
      <c r="B482">
        <v>44</v>
      </c>
      <c r="C482" t="s">
        <v>55</v>
      </c>
      <c r="D482" t="s">
        <v>67</v>
      </c>
      <c r="E482">
        <v>1395.06</v>
      </c>
      <c r="F482">
        <v>10114.4</v>
      </c>
      <c r="G482" t="s">
        <v>19</v>
      </c>
      <c r="H482" s="1">
        <v>45177</v>
      </c>
      <c r="I482" s="1">
        <v>45717</v>
      </c>
      <c r="J482" t="s">
        <v>2314</v>
      </c>
      <c r="K482" t="s">
        <v>35</v>
      </c>
      <c r="L482" t="s">
        <v>36</v>
      </c>
      <c r="M482">
        <v>0.48</v>
      </c>
      <c r="N482" t="s">
        <v>2315</v>
      </c>
      <c r="O482" t="s">
        <v>2316</v>
      </c>
      <c r="P482" t="s">
        <v>2317</v>
      </c>
    </row>
    <row r="483" spans="1:16" x14ac:dyDescent="0.45">
      <c r="A483" t="s">
        <v>2318</v>
      </c>
      <c r="B483">
        <v>64</v>
      </c>
      <c r="C483" t="s">
        <v>17</v>
      </c>
      <c r="D483" t="s">
        <v>18</v>
      </c>
      <c r="E483">
        <v>1836.24</v>
      </c>
      <c r="F483">
        <v>2070.5700000000002</v>
      </c>
      <c r="G483" t="s">
        <v>85</v>
      </c>
      <c r="H483" s="1">
        <v>44833</v>
      </c>
      <c r="I483" s="1">
        <v>45133</v>
      </c>
      <c r="J483" t="s">
        <v>2319</v>
      </c>
      <c r="K483" t="s">
        <v>21</v>
      </c>
      <c r="L483" t="s">
        <v>22</v>
      </c>
      <c r="M483">
        <v>7.0000000000000007E-2</v>
      </c>
      <c r="N483" t="s">
        <v>2320</v>
      </c>
      <c r="O483">
        <f>61-2-2966-376</f>
        <v>-3283</v>
      </c>
      <c r="P483" t="s">
        <v>2321</v>
      </c>
    </row>
    <row r="484" spans="1:16" x14ac:dyDescent="0.45">
      <c r="A484" t="s">
        <v>2322</v>
      </c>
      <c r="B484">
        <v>55</v>
      </c>
      <c r="C484" t="s">
        <v>40</v>
      </c>
      <c r="D484" t="s">
        <v>84</v>
      </c>
      <c r="E484">
        <v>4777.43</v>
      </c>
      <c r="F484">
        <v>17861.400000000001</v>
      </c>
      <c r="G484" t="s">
        <v>104</v>
      </c>
      <c r="H484" s="1">
        <v>45165</v>
      </c>
      <c r="I484" s="1">
        <v>45294</v>
      </c>
      <c r="J484" t="s">
        <v>2323</v>
      </c>
      <c r="K484" t="s">
        <v>21</v>
      </c>
      <c r="L484" t="s">
        <v>43</v>
      </c>
      <c r="M484">
        <v>0.44</v>
      </c>
      <c r="N484" t="s">
        <v>2324</v>
      </c>
      <c r="O484" t="s">
        <v>2325</v>
      </c>
      <c r="P484" t="s">
        <v>2326</v>
      </c>
    </row>
    <row r="485" spans="1:16" x14ac:dyDescent="0.45">
      <c r="A485" t="s">
        <v>2327</v>
      </c>
      <c r="B485">
        <v>54</v>
      </c>
      <c r="C485" t="s">
        <v>66</v>
      </c>
      <c r="D485" t="s">
        <v>41</v>
      </c>
      <c r="E485">
        <v>2778.76</v>
      </c>
      <c r="F485">
        <v>13293.56</v>
      </c>
      <c r="G485" t="s">
        <v>19</v>
      </c>
      <c r="H485" s="1">
        <v>45083</v>
      </c>
      <c r="I485" s="1">
        <v>45566</v>
      </c>
      <c r="J485" t="s">
        <v>2328</v>
      </c>
      <c r="K485" t="s">
        <v>35</v>
      </c>
      <c r="L485" t="s">
        <v>43</v>
      </c>
      <c r="M485">
        <v>0.94</v>
      </c>
      <c r="N485" t="s">
        <v>2329</v>
      </c>
      <c r="O485" t="s">
        <v>2330</v>
      </c>
      <c r="P485" t="s">
        <v>2331</v>
      </c>
    </row>
    <row r="486" spans="1:16" x14ac:dyDescent="0.45">
      <c r="A486" t="s">
        <v>2332</v>
      </c>
      <c r="B486">
        <v>70</v>
      </c>
      <c r="C486" t="s">
        <v>17</v>
      </c>
      <c r="D486" t="s">
        <v>67</v>
      </c>
      <c r="E486">
        <v>4247.74</v>
      </c>
      <c r="F486">
        <v>4741.67</v>
      </c>
      <c r="G486" t="s">
        <v>19</v>
      </c>
      <c r="H486" s="1">
        <v>45128</v>
      </c>
      <c r="I486" s="1">
        <v>45293</v>
      </c>
      <c r="J486" t="s">
        <v>2333</v>
      </c>
      <c r="K486" t="s">
        <v>28</v>
      </c>
      <c r="L486" t="s">
        <v>43</v>
      </c>
      <c r="M486">
        <v>0.55000000000000004</v>
      </c>
      <c r="N486" t="s">
        <v>2334</v>
      </c>
      <c r="O486" t="s">
        <v>2335</v>
      </c>
      <c r="P486" t="s">
        <v>2336</v>
      </c>
    </row>
    <row r="487" spans="1:16" x14ac:dyDescent="0.45">
      <c r="A487" t="s">
        <v>2337</v>
      </c>
      <c r="B487">
        <v>46</v>
      </c>
      <c r="C487" t="s">
        <v>32</v>
      </c>
      <c r="D487" t="s">
        <v>41</v>
      </c>
      <c r="E487">
        <v>2811.13</v>
      </c>
      <c r="F487">
        <v>6965.03</v>
      </c>
      <c r="G487" t="s">
        <v>19</v>
      </c>
      <c r="H487" s="1">
        <v>44948</v>
      </c>
      <c r="I487" s="1">
        <v>45655</v>
      </c>
      <c r="J487" t="s">
        <v>2338</v>
      </c>
      <c r="K487" t="s">
        <v>35</v>
      </c>
      <c r="L487" t="s">
        <v>36</v>
      </c>
      <c r="M487">
        <v>0.7</v>
      </c>
      <c r="N487" t="s">
        <v>2339</v>
      </c>
      <c r="O487">
        <f>61-2-1566-6468</f>
        <v>-7975</v>
      </c>
      <c r="P487" t="s">
        <v>2340</v>
      </c>
    </row>
    <row r="488" spans="1:16" x14ac:dyDescent="0.45">
      <c r="A488" t="s">
        <v>2341</v>
      </c>
      <c r="B488">
        <v>51</v>
      </c>
      <c r="C488" t="s">
        <v>48</v>
      </c>
      <c r="D488" t="s">
        <v>67</v>
      </c>
      <c r="E488">
        <v>1475.71</v>
      </c>
      <c r="F488">
        <v>3343.84</v>
      </c>
      <c r="G488" t="s">
        <v>19</v>
      </c>
      <c r="H488" s="1">
        <v>44905</v>
      </c>
      <c r="I488" s="1">
        <v>45605</v>
      </c>
      <c r="J488" t="s">
        <v>2342</v>
      </c>
      <c r="K488" t="s">
        <v>35</v>
      </c>
      <c r="L488" t="s">
        <v>22</v>
      </c>
      <c r="M488">
        <v>0.82</v>
      </c>
      <c r="N488" t="s">
        <v>2343</v>
      </c>
      <c r="O488" t="s">
        <v>2344</v>
      </c>
      <c r="P488" t="s">
        <v>2345</v>
      </c>
    </row>
    <row r="489" spans="1:16" x14ac:dyDescent="0.45">
      <c r="A489" t="s">
        <v>2346</v>
      </c>
      <c r="B489">
        <v>32</v>
      </c>
      <c r="C489" t="s">
        <v>83</v>
      </c>
      <c r="D489" t="s">
        <v>67</v>
      </c>
      <c r="E489">
        <v>1971.76</v>
      </c>
      <c r="F489">
        <v>2866.46</v>
      </c>
      <c r="G489" t="s">
        <v>19</v>
      </c>
      <c r="H489" s="1">
        <v>45194</v>
      </c>
      <c r="I489" s="1">
        <v>45405</v>
      </c>
      <c r="J489" t="s">
        <v>2347</v>
      </c>
      <c r="K489" t="s">
        <v>28</v>
      </c>
      <c r="L489" t="s">
        <v>36</v>
      </c>
      <c r="M489">
        <v>0.57999999999999996</v>
      </c>
      <c r="N489" t="s">
        <v>2348</v>
      </c>
      <c r="O489" t="s">
        <v>2349</v>
      </c>
      <c r="P489" t="s">
        <v>2350</v>
      </c>
    </row>
    <row r="490" spans="1:16" x14ac:dyDescent="0.45">
      <c r="A490" t="s">
        <v>2351</v>
      </c>
      <c r="B490">
        <v>72</v>
      </c>
      <c r="C490" t="s">
        <v>17</v>
      </c>
      <c r="D490" t="s">
        <v>41</v>
      </c>
      <c r="E490">
        <v>4128.1099999999997</v>
      </c>
      <c r="F490">
        <v>431.5</v>
      </c>
      <c r="G490" t="s">
        <v>19</v>
      </c>
      <c r="H490" s="1">
        <v>45196</v>
      </c>
      <c r="I490" s="1">
        <v>45832</v>
      </c>
      <c r="J490" t="s">
        <v>2352</v>
      </c>
      <c r="K490" t="s">
        <v>50</v>
      </c>
      <c r="L490" t="s">
        <v>43</v>
      </c>
      <c r="M490">
        <v>0.2</v>
      </c>
      <c r="N490" t="s">
        <v>2353</v>
      </c>
      <c r="O490" t="s">
        <v>2354</v>
      </c>
      <c r="P490" t="s">
        <v>2355</v>
      </c>
    </row>
    <row r="491" spans="1:16" x14ac:dyDescent="0.45">
      <c r="A491" t="s">
        <v>2356</v>
      </c>
      <c r="B491">
        <v>19</v>
      </c>
      <c r="C491" t="s">
        <v>40</v>
      </c>
      <c r="D491" t="s">
        <v>84</v>
      </c>
      <c r="E491">
        <v>718.38</v>
      </c>
      <c r="F491">
        <v>7213.06</v>
      </c>
      <c r="G491" t="s">
        <v>19</v>
      </c>
      <c r="H491" s="1">
        <v>45482</v>
      </c>
      <c r="I491" s="1">
        <v>45602</v>
      </c>
      <c r="J491" t="s">
        <v>2357</v>
      </c>
      <c r="K491" t="s">
        <v>50</v>
      </c>
      <c r="L491" t="s">
        <v>43</v>
      </c>
      <c r="M491">
        <v>0.6</v>
      </c>
      <c r="N491" t="s">
        <v>2358</v>
      </c>
      <c r="O491" t="s">
        <v>2359</v>
      </c>
      <c r="P491" t="s">
        <v>2360</v>
      </c>
    </row>
    <row r="492" spans="1:16" x14ac:dyDescent="0.45">
      <c r="A492" t="s">
        <v>2361</v>
      </c>
      <c r="B492">
        <v>53</v>
      </c>
      <c r="C492" t="s">
        <v>26</v>
      </c>
      <c r="D492" t="s">
        <v>18</v>
      </c>
      <c r="E492">
        <v>3009.8</v>
      </c>
      <c r="F492">
        <v>2487.44</v>
      </c>
      <c r="G492" t="s">
        <v>19</v>
      </c>
      <c r="H492" s="1">
        <v>45012</v>
      </c>
      <c r="I492" s="1">
        <v>45206</v>
      </c>
      <c r="J492" t="s">
        <v>2362</v>
      </c>
      <c r="K492" t="s">
        <v>21</v>
      </c>
      <c r="L492" t="s">
        <v>22</v>
      </c>
      <c r="M492">
        <v>0.28000000000000003</v>
      </c>
      <c r="N492" t="s">
        <v>2363</v>
      </c>
      <c r="O492" t="s">
        <v>2364</v>
      </c>
      <c r="P492" t="s">
        <v>2365</v>
      </c>
    </row>
    <row r="493" spans="1:16" x14ac:dyDescent="0.45">
      <c r="A493" t="s">
        <v>2366</v>
      </c>
      <c r="B493">
        <v>40</v>
      </c>
      <c r="C493" t="s">
        <v>40</v>
      </c>
      <c r="D493" t="s">
        <v>33</v>
      </c>
      <c r="E493">
        <v>1893.78</v>
      </c>
      <c r="F493">
        <v>2575</v>
      </c>
      <c r="G493" t="s">
        <v>19</v>
      </c>
      <c r="H493" s="1">
        <v>45408</v>
      </c>
      <c r="I493" s="1">
        <v>45691</v>
      </c>
      <c r="J493" t="s">
        <v>2367</v>
      </c>
      <c r="K493" t="s">
        <v>21</v>
      </c>
      <c r="L493" t="s">
        <v>22</v>
      </c>
      <c r="M493">
        <v>0.06</v>
      </c>
      <c r="N493" t="s">
        <v>2368</v>
      </c>
      <c r="O493">
        <v>1455.9165</v>
      </c>
      <c r="P493" t="s">
        <v>2369</v>
      </c>
    </row>
    <row r="494" spans="1:16" x14ac:dyDescent="0.45">
      <c r="A494" t="s">
        <v>2370</v>
      </c>
      <c r="B494">
        <v>51</v>
      </c>
      <c r="C494" t="s">
        <v>32</v>
      </c>
      <c r="D494" t="s">
        <v>41</v>
      </c>
      <c r="E494">
        <v>2350.4299999999998</v>
      </c>
      <c r="F494">
        <v>5562.06</v>
      </c>
      <c r="G494" t="s">
        <v>19</v>
      </c>
      <c r="H494" s="1">
        <v>45114</v>
      </c>
      <c r="I494" s="1">
        <v>45531</v>
      </c>
      <c r="J494" t="s">
        <v>2371</v>
      </c>
      <c r="K494" t="s">
        <v>28</v>
      </c>
      <c r="L494" t="s">
        <v>36</v>
      </c>
      <c r="M494">
        <v>0.53</v>
      </c>
      <c r="N494" t="s">
        <v>2372</v>
      </c>
      <c r="O494" t="s">
        <v>2373</v>
      </c>
      <c r="P494" t="s">
        <v>2374</v>
      </c>
    </row>
    <row r="495" spans="1:16" x14ac:dyDescent="0.45">
      <c r="A495" t="s">
        <v>2375</v>
      </c>
      <c r="B495">
        <v>57</v>
      </c>
      <c r="C495" t="s">
        <v>83</v>
      </c>
      <c r="D495" t="s">
        <v>33</v>
      </c>
      <c r="E495">
        <v>2346.11</v>
      </c>
      <c r="F495">
        <v>997.75</v>
      </c>
      <c r="G495" t="s">
        <v>19</v>
      </c>
      <c r="H495" s="1">
        <v>45217</v>
      </c>
      <c r="I495" s="1">
        <v>45456</v>
      </c>
      <c r="J495" t="s">
        <v>2376</v>
      </c>
      <c r="K495" t="s">
        <v>21</v>
      </c>
      <c r="L495" t="s">
        <v>43</v>
      </c>
      <c r="M495">
        <v>0.34</v>
      </c>
      <c r="N495" t="s">
        <v>2377</v>
      </c>
      <c r="O495" t="s">
        <v>2378</v>
      </c>
      <c r="P495" t="s">
        <v>2379</v>
      </c>
    </row>
    <row r="496" spans="1:16" x14ac:dyDescent="0.45">
      <c r="A496" t="s">
        <v>2380</v>
      </c>
      <c r="B496">
        <v>52</v>
      </c>
      <c r="C496" t="s">
        <v>17</v>
      </c>
      <c r="D496" t="s">
        <v>67</v>
      </c>
      <c r="E496">
        <v>3454.49</v>
      </c>
      <c r="F496">
        <v>14054.65</v>
      </c>
      <c r="G496" t="s">
        <v>104</v>
      </c>
      <c r="H496" s="1">
        <v>44948</v>
      </c>
      <c r="I496" s="1">
        <v>45789</v>
      </c>
      <c r="J496" t="s">
        <v>2381</v>
      </c>
      <c r="K496" t="s">
        <v>21</v>
      </c>
      <c r="L496" t="s">
        <v>43</v>
      </c>
      <c r="M496">
        <v>0.89</v>
      </c>
      <c r="N496" t="s">
        <v>2382</v>
      </c>
      <c r="O496" t="s">
        <v>2383</v>
      </c>
      <c r="P496" t="s">
        <v>2384</v>
      </c>
    </row>
    <row r="497" spans="1:16" x14ac:dyDescent="0.45">
      <c r="A497" t="s">
        <v>2385</v>
      </c>
      <c r="B497">
        <v>31</v>
      </c>
      <c r="C497" t="s">
        <v>66</v>
      </c>
      <c r="D497" t="s">
        <v>18</v>
      </c>
      <c r="E497">
        <v>2406.69</v>
      </c>
      <c r="F497">
        <v>19826.509999999998</v>
      </c>
      <c r="G497" t="s">
        <v>104</v>
      </c>
      <c r="H497" s="1">
        <v>44880</v>
      </c>
      <c r="I497" s="1">
        <v>45299</v>
      </c>
      <c r="J497" t="s">
        <v>2386</v>
      </c>
      <c r="K497" t="s">
        <v>35</v>
      </c>
      <c r="L497" t="s">
        <v>43</v>
      </c>
      <c r="M497">
        <v>0.62</v>
      </c>
      <c r="N497" t="s">
        <v>2387</v>
      </c>
      <c r="O497" t="s">
        <v>2388</v>
      </c>
      <c r="P497" t="s">
        <v>2389</v>
      </c>
    </row>
    <row r="498" spans="1:16" x14ac:dyDescent="0.45">
      <c r="A498" t="s">
        <v>2390</v>
      </c>
      <c r="B498">
        <v>57</v>
      </c>
      <c r="C498" t="s">
        <v>66</v>
      </c>
      <c r="D498" t="s">
        <v>18</v>
      </c>
      <c r="E498">
        <v>2924.81</v>
      </c>
      <c r="F498">
        <v>5509.92</v>
      </c>
      <c r="G498" t="s">
        <v>104</v>
      </c>
      <c r="H498" s="1">
        <v>45383</v>
      </c>
      <c r="I498" s="1">
        <v>45438</v>
      </c>
      <c r="J498" t="s">
        <v>2391</v>
      </c>
      <c r="K498" t="s">
        <v>35</v>
      </c>
      <c r="L498" t="s">
        <v>22</v>
      </c>
      <c r="M498">
        <v>0.06</v>
      </c>
      <c r="N498" t="s">
        <v>2392</v>
      </c>
      <c r="O498" t="s">
        <v>2393</v>
      </c>
      <c r="P498" t="s">
        <v>2394</v>
      </c>
    </row>
    <row r="499" spans="1:16" x14ac:dyDescent="0.45">
      <c r="A499" t="s">
        <v>2395</v>
      </c>
      <c r="B499">
        <v>21</v>
      </c>
      <c r="C499" t="s">
        <v>17</v>
      </c>
      <c r="D499" t="s">
        <v>84</v>
      </c>
      <c r="E499">
        <v>1881.44</v>
      </c>
      <c r="F499">
        <v>12918.31</v>
      </c>
      <c r="G499" t="s">
        <v>19</v>
      </c>
      <c r="H499" s="1">
        <v>45480</v>
      </c>
      <c r="I499" s="1">
        <v>45788</v>
      </c>
      <c r="J499" t="s">
        <v>2396</v>
      </c>
      <c r="K499" t="s">
        <v>50</v>
      </c>
      <c r="L499" t="s">
        <v>22</v>
      </c>
      <c r="M499">
        <v>0.52</v>
      </c>
      <c r="N499" t="s">
        <v>2397</v>
      </c>
      <c r="O499" t="s">
        <v>2398</v>
      </c>
      <c r="P499" t="s">
        <v>2399</v>
      </c>
    </row>
    <row r="500" spans="1:16" x14ac:dyDescent="0.45">
      <c r="A500" t="s">
        <v>2400</v>
      </c>
      <c r="B500">
        <v>74</v>
      </c>
      <c r="C500" t="s">
        <v>55</v>
      </c>
      <c r="D500" t="s">
        <v>84</v>
      </c>
      <c r="E500">
        <v>1741.04</v>
      </c>
      <c r="F500">
        <v>13792.56</v>
      </c>
      <c r="G500" t="s">
        <v>104</v>
      </c>
      <c r="H500" s="1">
        <v>45256</v>
      </c>
      <c r="I500" s="1">
        <v>45625</v>
      </c>
      <c r="J500" t="s">
        <v>2401</v>
      </c>
      <c r="K500" t="s">
        <v>35</v>
      </c>
      <c r="L500" t="s">
        <v>43</v>
      </c>
      <c r="M500">
        <v>0.56999999999999995</v>
      </c>
      <c r="N500" t="s">
        <v>2402</v>
      </c>
      <c r="O500" t="s">
        <v>2403</v>
      </c>
      <c r="P500" t="s">
        <v>2404</v>
      </c>
    </row>
    <row r="501" spans="1:16" x14ac:dyDescent="0.45">
      <c r="A501" t="s">
        <v>2405</v>
      </c>
      <c r="B501">
        <v>32</v>
      </c>
      <c r="C501" t="s">
        <v>17</v>
      </c>
      <c r="D501" t="s">
        <v>33</v>
      </c>
      <c r="E501">
        <v>1054.05</v>
      </c>
      <c r="F501">
        <v>9029.02</v>
      </c>
      <c r="G501" t="s">
        <v>19</v>
      </c>
      <c r="H501" s="1">
        <v>45377</v>
      </c>
      <c r="I501" s="1">
        <v>45735</v>
      </c>
      <c r="J501" t="s">
        <v>2406</v>
      </c>
      <c r="K501" t="s">
        <v>28</v>
      </c>
      <c r="L501" t="s">
        <v>43</v>
      </c>
      <c r="M501">
        <v>0.44</v>
      </c>
      <c r="N501" t="s">
        <v>2407</v>
      </c>
      <c r="O501" t="s">
        <v>2408</v>
      </c>
      <c r="P501" t="s">
        <v>2409</v>
      </c>
    </row>
    <row r="502" spans="1:16" x14ac:dyDescent="0.45">
      <c r="A502" t="s">
        <v>2410</v>
      </c>
      <c r="B502">
        <v>68</v>
      </c>
      <c r="C502" t="s">
        <v>17</v>
      </c>
      <c r="D502" t="s">
        <v>84</v>
      </c>
      <c r="E502">
        <v>3496.4</v>
      </c>
      <c r="F502">
        <v>2887.1</v>
      </c>
      <c r="G502" t="s">
        <v>85</v>
      </c>
      <c r="H502" s="1">
        <v>44990</v>
      </c>
      <c r="I502" s="1">
        <v>44993</v>
      </c>
      <c r="J502" t="s">
        <v>2411</v>
      </c>
      <c r="K502" t="s">
        <v>50</v>
      </c>
      <c r="L502" t="s">
        <v>36</v>
      </c>
      <c r="M502">
        <v>0.91</v>
      </c>
      <c r="N502" t="s">
        <v>2412</v>
      </c>
      <c r="O502" t="s">
        <v>2413</v>
      </c>
      <c r="P502" t="s">
        <v>2414</v>
      </c>
    </row>
    <row r="503" spans="1:16" x14ac:dyDescent="0.45">
      <c r="A503" t="s">
        <v>2415</v>
      </c>
      <c r="B503">
        <v>29</v>
      </c>
      <c r="C503" t="s">
        <v>83</v>
      </c>
      <c r="D503" t="s">
        <v>41</v>
      </c>
      <c r="E503">
        <v>1390.08</v>
      </c>
      <c r="F503">
        <v>10038.370000000001</v>
      </c>
      <c r="G503" t="s">
        <v>85</v>
      </c>
      <c r="H503" s="1">
        <v>44880</v>
      </c>
      <c r="I503" s="1">
        <v>45761</v>
      </c>
      <c r="J503" t="s">
        <v>2416</v>
      </c>
      <c r="K503" t="s">
        <v>21</v>
      </c>
      <c r="L503" t="s">
        <v>43</v>
      </c>
      <c r="M503">
        <v>0.57999999999999996</v>
      </c>
      <c r="N503" t="s">
        <v>2417</v>
      </c>
      <c r="O503" t="s">
        <v>2418</v>
      </c>
      <c r="P503" t="s">
        <v>2419</v>
      </c>
    </row>
    <row r="504" spans="1:16" x14ac:dyDescent="0.45">
      <c r="A504" t="s">
        <v>2420</v>
      </c>
      <c r="B504">
        <v>25</v>
      </c>
      <c r="C504" t="s">
        <v>55</v>
      </c>
      <c r="D504" t="s">
        <v>41</v>
      </c>
      <c r="E504">
        <v>4534.78</v>
      </c>
      <c r="F504">
        <v>2521.77</v>
      </c>
      <c r="G504" t="s">
        <v>19</v>
      </c>
      <c r="H504" s="1">
        <v>45059</v>
      </c>
      <c r="I504" s="1">
        <v>45398</v>
      </c>
      <c r="J504" t="s">
        <v>2421</v>
      </c>
      <c r="K504" t="s">
        <v>35</v>
      </c>
      <c r="L504" t="s">
        <v>36</v>
      </c>
      <c r="M504">
        <v>0.74</v>
      </c>
      <c r="N504" t="s">
        <v>2422</v>
      </c>
      <c r="O504" t="s">
        <v>2423</v>
      </c>
      <c r="P504" t="s">
        <v>2424</v>
      </c>
    </row>
    <row r="505" spans="1:16" x14ac:dyDescent="0.45">
      <c r="A505" t="s">
        <v>2425</v>
      </c>
      <c r="B505">
        <v>72</v>
      </c>
      <c r="C505" t="s">
        <v>32</v>
      </c>
      <c r="D505" t="s">
        <v>18</v>
      </c>
      <c r="E505">
        <v>4090.86</v>
      </c>
      <c r="F505">
        <v>7555.57</v>
      </c>
      <c r="G505" t="s">
        <v>19</v>
      </c>
      <c r="H505" s="1">
        <v>44881</v>
      </c>
      <c r="I505" s="1">
        <v>45164</v>
      </c>
      <c r="J505" t="s">
        <v>2426</v>
      </c>
      <c r="K505" t="s">
        <v>35</v>
      </c>
      <c r="L505" t="s">
        <v>36</v>
      </c>
      <c r="M505">
        <v>0.24</v>
      </c>
      <c r="N505" t="s">
        <v>2427</v>
      </c>
      <c r="O505">
        <v>228030814</v>
      </c>
      <c r="P505" t="s">
        <v>2428</v>
      </c>
    </row>
    <row r="506" spans="1:16" x14ac:dyDescent="0.45">
      <c r="A506" t="s">
        <v>2429</v>
      </c>
      <c r="B506">
        <v>22</v>
      </c>
      <c r="C506" t="s">
        <v>17</v>
      </c>
      <c r="D506" t="s">
        <v>33</v>
      </c>
      <c r="E506">
        <v>3840.86</v>
      </c>
      <c r="F506">
        <v>19518.66</v>
      </c>
      <c r="G506" t="s">
        <v>19</v>
      </c>
      <c r="H506" s="1">
        <v>45438</v>
      </c>
      <c r="I506" s="1">
        <v>45728</v>
      </c>
      <c r="J506" t="s">
        <v>2430</v>
      </c>
      <c r="K506" t="s">
        <v>50</v>
      </c>
      <c r="L506" t="s">
        <v>43</v>
      </c>
      <c r="M506">
        <v>0.37</v>
      </c>
      <c r="N506" t="s">
        <v>2431</v>
      </c>
      <c r="O506" t="s">
        <v>2432</v>
      </c>
      <c r="P506" t="s">
        <v>2433</v>
      </c>
    </row>
    <row r="507" spans="1:16" x14ac:dyDescent="0.45">
      <c r="A507" t="s">
        <v>2434</v>
      </c>
      <c r="B507">
        <v>41</v>
      </c>
      <c r="C507" t="s">
        <v>48</v>
      </c>
      <c r="D507" t="s">
        <v>67</v>
      </c>
      <c r="E507">
        <v>3809.5</v>
      </c>
      <c r="F507">
        <v>5601.08</v>
      </c>
      <c r="G507" t="s">
        <v>19</v>
      </c>
      <c r="H507" s="1">
        <v>45427</v>
      </c>
      <c r="I507" s="1">
        <v>45473</v>
      </c>
      <c r="J507" t="s">
        <v>2435</v>
      </c>
      <c r="K507" t="s">
        <v>28</v>
      </c>
      <c r="L507" t="s">
        <v>36</v>
      </c>
      <c r="M507">
        <v>0.19</v>
      </c>
      <c r="N507" t="s">
        <v>2436</v>
      </c>
      <c r="O507" t="s">
        <v>2437</v>
      </c>
      <c r="P507" t="s">
        <v>2438</v>
      </c>
    </row>
    <row r="508" spans="1:16" x14ac:dyDescent="0.45">
      <c r="A508" t="s">
        <v>2439</v>
      </c>
      <c r="B508">
        <v>52</v>
      </c>
      <c r="C508" t="s">
        <v>83</v>
      </c>
      <c r="D508" t="s">
        <v>33</v>
      </c>
      <c r="E508">
        <v>761.55</v>
      </c>
      <c r="F508">
        <v>19484.09</v>
      </c>
      <c r="G508" t="s">
        <v>19</v>
      </c>
      <c r="H508" s="1">
        <v>45298</v>
      </c>
      <c r="I508" s="1">
        <v>45407</v>
      </c>
      <c r="J508" t="s">
        <v>2440</v>
      </c>
      <c r="K508" t="s">
        <v>50</v>
      </c>
      <c r="L508" t="s">
        <v>36</v>
      </c>
      <c r="M508">
        <v>0.52</v>
      </c>
      <c r="N508" t="s">
        <v>2441</v>
      </c>
      <c r="O508">
        <v>16598136</v>
      </c>
      <c r="P508" t="s">
        <v>2442</v>
      </c>
    </row>
    <row r="509" spans="1:16" x14ac:dyDescent="0.45">
      <c r="A509" t="s">
        <v>2443</v>
      </c>
      <c r="B509">
        <v>37</v>
      </c>
      <c r="C509" t="s">
        <v>66</v>
      </c>
      <c r="D509" t="s">
        <v>41</v>
      </c>
      <c r="E509">
        <v>4570.7</v>
      </c>
      <c r="F509">
        <v>1311.07</v>
      </c>
      <c r="G509" t="s">
        <v>19</v>
      </c>
      <c r="H509" s="1">
        <v>44867</v>
      </c>
      <c r="I509" s="1">
        <v>45080</v>
      </c>
      <c r="J509" t="s">
        <v>2444</v>
      </c>
      <c r="K509" t="s">
        <v>50</v>
      </c>
      <c r="L509" t="s">
        <v>22</v>
      </c>
      <c r="M509">
        <v>0.62</v>
      </c>
      <c r="N509" t="s">
        <v>2445</v>
      </c>
      <c r="O509" t="s">
        <v>2446</v>
      </c>
      <c r="P509" t="s">
        <v>2447</v>
      </c>
    </row>
    <row r="510" spans="1:16" x14ac:dyDescent="0.45">
      <c r="A510" t="s">
        <v>2448</v>
      </c>
      <c r="B510">
        <v>26</v>
      </c>
      <c r="C510" t="s">
        <v>17</v>
      </c>
      <c r="D510" t="s">
        <v>18</v>
      </c>
      <c r="E510">
        <v>1497.53</v>
      </c>
      <c r="F510">
        <v>1678.24</v>
      </c>
      <c r="G510" t="s">
        <v>19</v>
      </c>
      <c r="H510" s="1">
        <v>45325</v>
      </c>
      <c r="I510" s="1">
        <v>45424</v>
      </c>
      <c r="J510" t="s">
        <v>2449</v>
      </c>
      <c r="K510" t="s">
        <v>50</v>
      </c>
      <c r="L510" t="s">
        <v>36</v>
      </c>
      <c r="M510">
        <v>0.76</v>
      </c>
      <c r="N510" t="s">
        <v>2450</v>
      </c>
      <c r="O510">
        <v>6883.0093999999999</v>
      </c>
      <c r="P510" t="s">
        <v>2451</v>
      </c>
    </row>
    <row r="511" spans="1:16" x14ac:dyDescent="0.45">
      <c r="A511" t="s">
        <v>2452</v>
      </c>
      <c r="B511">
        <v>66</v>
      </c>
      <c r="C511" t="s">
        <v>48</v>
      </c>
      <c r="D511" t="s">
        <v>18</v>
      </c>
      <c r="E511">
        <v>452.39</v>
      </c>
      <c r="F511">
        <v>8651.2099999999991</v>
      </c>
      <c r="G511" t="s">
        <v>19</v>
      </c>
      <c r="H511" s="1">
        <v>45130</v>
      </c>
      <c r="I511" s="1">
        <v>45339</v>
      </c>
      <c r="J511" t="s">
        <v>2453</v>
      </c>
      <c r="K511" t="s">
        <v>28</v>
      </c>
      <c r="L511" t="s">
        <v>22</v>
      </c>
      <c r="M511">
        <v>0.14000000000000001</v>
      </c>
      <c r="N511" t="s">
        <v>2454</v>
      </c>
      <c r="O511">
        <v>61867859580</v>
      </c>
      <c r="P511" t="s">
        <v>2455</v>
      </c>
    </row>
    <row r="512" spans="1:16" x14ac:dyDescent="0.45">
      <c r="A512" t="s">
        <v>2456</v>
      </c>
      <c r="B512">
        <v>47</v>
      </c>
      <c r="C512" t="s">
        <v>26</v>
      </c>
      <c r="D512" t="s">
        <v>33</v>
      </c>
      <c r="E512">
        <v>1817.48</v>
      </c>
      <c r="F512">
        <v>5357.93</v>
      </c>
      <c r="G512" t="s">
        <v>19</v>
      </c>
      <c r="H512" s="1">
        <v>45104</v>
      </c>
      <c r="I512" s="1">
        <v>45414</v>
      </c>
      <c r="J512" t="s">
        <v>2457</v>
      </c>
      <c r="K512" t="s">
        <v>50</v>
      </c>
      <c r="L512" t="s">
        <v>36</v>
      </c>
      <c r="M512">
        <v>0.94</v>
      </c>
      <c r="N512" t="s">
        <v>2458</v>
      </c>
      <c r="O512" t="s">
        <v>2459</v>
      </c>
      <c r="P512" t="s">
        <v>2460</v>
      </c>
    </row>
    <row r="513" spans="1:16" x14ac:dyDescent="0.45">
      <c r="A513" t="s">
        <v>2461</v>
      </c>
      <c r="B513">
        <v>19</v>
      </c>
      <c r="C513" t="s">
        <v>83</v>
      </c>
      <c r="D513" t="s">
        <v>33</v>
      </c>
      <c r="E513">
        <v>4997.6099999999997</v>
      </c>
      <c r="F513">
        <v>1843.47</v>
      </c>
      <c r="G513" t="s">
        <v>85</v>
      </c>
      <c r="H513" s="1">
        <v>45432</v>
      </c>
      <c r="I513" s="1">
        <v>45764</v>
      </c>
      <c r="J513" t="s">
        <v>2462</v>
      </c>
      <c r="K513" t="s">
        <v>35</v>
      </c>
      <c r="L513" t="s">
        <v>43</v>
      </c>
      <c r="M513">
        <v>1</v>
      </c>
      <c r="N513" t="s">
        <v>2463</v>
      </c>
      <c r="O513" t="s">
        <v>2464</v>
      </c>
      <c r="P513" t="s">
        <v>2465</v>
      </c>
    </row>
    <row r="514" spans="1:16" x14ac:dyDescent="0.45">
      <c r="A514" t="s">
        <v>2466</v>
      </c>
      <c r="B514">
        <v>19</v>
      </c>
      <c r="C514" t="s">
        <v>48</v>
      </c>
      <c r="D514" t="s">
        <v>18</v>
      </c>
      <c r="E514">
        <v>812.98</v>
      </c>
      <c r="F514">
        <v>3232.86</v>
      </c>
      <c r="G514" t="s">
        <v>104</v>
      </c>
      <c r="H514" s="1">
        <v>45370</v>
      </c>
      <c r="I514" s="1">
        <v>45631</v>
      </c>
      <c r="J514" t="s">
        <v>2467</v>
      </c>
      <c r="K514" t="s">
        <v>50</v>
      </c>
      <c r="L514" t="s">
        <v>36</v>
      </c>
      <c r="M514">
        <v>0.93</v>
      </c>
      <c r="N514" t="s">
        <v>2468</v>
      </c>
      <c r="O514" t="s">
        <v>2469</v>
      </c>
      <c r="P514" t="s">
        <v>2470</v>
      </c>
    </row>
    <row r="515" spans="1:16" x14ac:dyDescent="0.45">
      <c r="A515" t="s">
        <v>2471</v>
      </c>
      <c r="B515">
        <v>49</v>
      </c>
      <c r="C515" t="s">
        <v>55</v>
      </c>
      <c r="D515" t="s">
        <v>18</v>
      </c>
      <c r="E515">
        <v>4951.32</v>
      </c>
      <c r="F515">
        <v>14797.92</v>
      </c>
      <c r="G515" t="s">
        <v>19</v>
      </c>
      <c r="H515" s="1">
        <v>44841</v>
      </c>
      <c r="I515" s="1">
        <v>45344</v>
      </c>
      <c r="J515" t="s">
        <v>2472</v>
      </c>
      <c r="K515" t="s">
        <v>21</v>
      </c>
      <c r="L515" t="s">
        <v>36</v>
      </c>
      <c r="M515">
        <v>0.7</v>
      </c>
      <c r="N515" t="s">
        <v>2473</v>
      </c>
      <c r="O515">
        <f>61-491-583-814</f>
        <v>-1827</v>
      </c>
      <c r="P515" t="s">
        <v>2474</v>
      </c>
    </row>
    <row r="516" spans="1:16" x14ac:dyDescent="0.45">
      <c r="A516" t="s">
        <v>2475</v>
      </c>
      <c r="B516">
        <v>54</v>
      </c>
      <c r="C516" t="s">
        <v>26</v>
      </c>
      <c r="D516" t="s">
        <v>41</v>
      </c>
      <c r="E516">
        <v>1082.72</v>
      </c>
      <c r="F516">
        <v>12476.01</v>
      </c>
      <c r="G516" t="s">
        <v>19</v>
      </c>
      <c r="H516" s="1">
        <v>44878</v>
      </c>
      <c r="I516" s="1">
        <v>45833</v>
      </c>
      <c r="J516" t="s">
        <v>2476</v>
      </c>
      <c r="K516" t="s">
        <v>28</v>
      </c>
      <c r="L516" t="s">
        <v>22</v>
      </c>
      <c r="M516">
        <v>0.91</v>
      </c>
      <c r="N516" t="s">
        <v>2477</v>
      </c>
      <c r="O516" t="s">
        <v>2478</v>
      </c>
      <c r="P516" t="s">
        <v>2479</v>
      </c>
    </row>
    <row r="517" spans="1:16" x14ac:dyDescent="0.45">
      <c r="A517" t="s">
        <v>2480</v>
      </c>
      <c r="B517">
        <v>18</v>
      </c>
      <c r="C517" t="s">
        <v>17</v>
      </c>
      <c r="D517" t="s">
        <v>18</v>
      </c>
      <c r="E517">
        <v>3009.62</v>
      </c>
      <c r="F517">
        <v>2274.73</v>
      </c>
      <c r="G517" t="s">
        <v>85</v>
      </c>
      <c r="H517" s="1">
        <v>44905</v>
      </c>
      <c r="I517" s="1">
        <v>45382</v>
      </c>
      <c r="J517" t="s">
        <v>2481</v>
      </c>
      <c r="K517" t="s">
        <v>35</v>
      </c>
      <c r="L517" t="s">
        <v>22</v>
      </c>
      <c r="M517">
        <v>0.38</v>
      </c>
      <c r="N517" t="s">
        <v>2482</v>
      </c>
      <c r="O517">
        <v>76116251</v>
      </c>
      <c r="P517" t="s">
        <v>2483</v>
      </c>
    </row>
    <row r="518" spans="1:16" x14ac:dyDescent="0.45">
      <c r="A518" t="s">
        <v>2484</v>
      </c>
      <c r="B518">
        <v>37</v>
      </c>
      <c r="C518" t="s">
        <v>66</v>
      </c>
      <c r="D518" t="s">
        <v>33</v>
      </c>
      <c r="E518">
        <v>1070.3699999999999</v>
      </c>
      <c r="F518">
        <v>2538.6799999999998</v>
      </c>
      <c r="G518" t="s">
        <v>104</v>
      </c>
      <c r="H518" s="1">
        <v>45206</v>
      </c>
      <c r="I518" s="1">
        <v>45267</v>
      </c>
      <c r="J518" t="s">
        <v>2485</v>
      </c>
      <c r="K518" t="s">
        <v>21</v>
      </c>
      <c r="L518" t="s">
        <v>43</v>
      </c>
      <c r="M518">
        <v>0.79</v>
      </c>
      <c r="N518" t="s">
        <v>2486</v>
      </c>
      <c r="O518" t="s">
        <v>2487</v>
      </c>
      <c r="P518" t="s">
        <v>2488</v>
      </c>
    </row>
    <row r="519" spans="1:16" x14ac:dyDescent="0.45">
      <c r="A519" t="s">
        <v>2489</v>
      </c>
      <c r="B519">
        <v>27</v>
      </c>
      <c r="C519" t="s">
        <v>48</v>
      </c>
      <c r="D519" t="s">
        <v>33</v>
      </c>
      <c r="E519">
        <v>2253.2399999999998</v>
      </c>
      <c r="F519">
        <v>16928.509999999998</v>
      </c>
      <c r="G519" t="s">
        <v>104</v>
      </c>
      <c r="H519" s="1">
        <v>45319</v>
      </c>
      <c r="I519" s="1">
        <v>45704</v>
      </c>
      <c r="J519" t="s">
        <v>2490</v>
      </c>
      <c r="K519" t="s">
        <v>28</v>
      </c>
      <c r="L519" t="s">
        <v>43</v>
      </c>
      <c r="M519">
        <v>0.48</v>
      </c>
      <c r="N519" t="s">
        <v>2491</v>
      </c>
      <c r="O519" t="s">
        <v>2492</v>
      </c>
      <c r="P519" t="s">
        <v>2493</v>
      </c>
    </row>
    <row r="520" spans="1:16" x14ac:dyDescent="0.45">
      <c r="A520" t="s">
        <v>2494</v>
      </c>
      <c r="B520">
        <v>45</v>
      </c>
      <c r="C520" t="s">
        <v>40</v>
      </c>
      <c r="D520" t="s">
        <v>18</v>
      </c>
      <c r="E520">
        <v>3319.33</v>
      </c>
      <c r="F520">
        <v>5139.26</v>
      </c>
      <c r="G520" t="s">
        <v>19</v>
      </c>
      <c r="H520" s="1">
        <v>45067</v>
      </c>
      <c r="I520" s="1">
        <v>45274</v>
      </c>
      <c r="J520" t="s">
        <v>2495</v>
      </c>
      <c r="K520" t="s">
        <v>35</v>
      </c>
      <c r="L520" t="s">
        <v>22</v>
      </c>
      <c r="M520">
        <v>0.11</v>
      </c>
      <c r="N520" t="s">
        <v>2496</v>
      </c>
      <c r="O520" t="s">
        <v>2497</v>
      </c>
      <c r="P520" t="s">
        <v>2498</v>
      </c>
    </row>
    <row r="521" spans="1:16" x14ac:dyDescent="0.45">
      <c r="A521" t="s">
        <v>2499</v>
      </c>
      <c r="B521">
        <v>24</v>
      </c>
      <c r="C521" t="s">
        <v>17</v>
      </c>
      <c r="D521" t="s">
        <v>67</v>
      </c>
      <c r="E521">
        <v>543.35</v>
      </c>
      <c r="F521">
        <v>5765.26</v>
      </c>
      <c r="G521" t="s">
        <v>19</v>
      </c>
      <c r="H521" s="1">
        <v>45200</v>
      </c>
      <c r="I521" s="1">
        <v>45268</v>
      </c>
      <c r="J521" t="s">
        <v>2500</v>
      </c>
      <c r="K521" t="s">
        <v>28</v>
      </c>
      <c r="L521" t="s">
        <v>43</v>
      </c>
      <c r="M521">
        <v>0.86</v>
      </c>
      <c r="N521" t="s">
        <v>2501</v>
      </c>
      <c r="O521" t="s">
        <v>2502</v>
      </c>
      <c r="P521" t="s">
        <v>2503</v>
      </c>
    </row>
    <row r="522" spans="1:16" x14ac:dyDescent="0.45">
      <c r="A522" t="s">
        <v>2504</v>
      </c>
      <c r="B522">
        <v>39</v>
      </c>
      <c r="C522" t="s">
        <v>32</v>
      </c>
      <c r="D522" t="s">
        <v>18</v>
      </c>
      <c r="E522">
        <v>311.41000000000003</v>
      </c>
      <c r="F522">
        <v>13452</v>
      </c>
      <c r="G522" t="s">
        <v>85</v>
      </c>
      <c r="H522" s="1">
        <v>45433</v>
      </c>
      <c r="I522" s="1">
        <v>45485</v>
      </c>
      <c r="J522" t="s">
        <v>2505</v>
      </c>
      <c r="K522" t="s">
        <v>50</v>
      </c>
      <c r="L522" t="s">
        <v>43</v>
      </c>
      <c r="M522">
        <v>0.28000000000000003</v>
      </c>
      <c r="N522" t="s">
        <v>2506</v>
      </c>
      <c r="O522" t="s">
        <v>2507</v>
      </c>
      <c r="P522" t="s">
        <v>2508</v>
      </c>
    </row>
    <row r="523" spans="1:16" x14ac:dyDescent="0.45">
      <c r="A523" t="s">
        <v>2509</v>
      </c>
      <c r="B523">
        <v>61</v>
      </c>
      <c r="C523" t="s">
        <v>26</v>
      </c>
      <c r="D523" t="s">
        <v>33</v>
      </c>
      <c r="E523">
        <v>629.54999999999995</v>
      </c>
      <c r="F523">
        <v>2157.35</v>
      </c>
      <c r="G523" t="s">
        <v>19</v>
      </c>
      <c r="H523" s="1">
        <v>45065</v>
      </c>
      <c r="I523" s="1">
        <v>45820</v>
      </c>
      <c r="J523" t="s">
        <v>2510</v>
      </c>
      <c r="K523" t="s">
        <v>35</v>
      </c>
      <c r="L523" t="s">
        <v>43</v>
      </c>
      <c r="M523">
        <v>0.49</v>
      </c>
      <c r="N523" t="s">
        <v>2511</v>
      </c>
      <c r="O523" t="s">
        <v>2512</v>
      </c>
      <c r="P523" t="s">
        <v>2513</v>
      </c>
    </row>
    <row r="524" spans="1:16" x14ac:dyDescent="0.45">
      <c r="A524" t="s">
        <v>2514</v>
      </c>
      <c r="B524">
        <v>22</v>
      </c>
      <c r="C524" t="s">
        <v>83</v>
      </c>
      <c r="D524" t="s">
        <v>67</v>
      </c>
      <c r="E524">
        <v>340.07</v>
      </c>
      <c r="F524">
        <v>1000.76</v>
      </c>
      <c r="G524" t="s">
        <v>104</v>
      </c>
      <c r="H524" s="1">
        <v>45141</v>
      </c>
      <c r="I524" s="1">
        <v>45463</v>
      </c>
      <c r="J524" t="s">
        <v>2515</v>
      </c>
      <c r="K524" t="s">
        <v>50</v>
      </c>
      <c r="L524" t="s">
        <v>43</v>
      </c>
      <c r="M524">
        <v>0.16</v>
      </c>
      <c r="N524" t="s">
        <v>2516</v>
      </c>
      <c r="O524" t="s">
        <v>2517</v>
      </c>
      <c r="P524" t="s">
        <v>2518</v>
      </c>
    </row>
    <row r="525" spans="1:16" x14ac:dyDescent="0.45">
      <c r="A525" t="s">
        <v>2519</v>
      </c>
      <c r="B525">
        <v>37</v>
      </c>
      <c r="C525" t="s">
        <v>66</v>
      </c>
      <c r="D525" t="s">
        <v>18</v>
      </c>
      <c r="E525">
        <v>529.63</v>
      </c>
      <c r="F525">
        <v>17614.47</v>
      </c>
      <c r="G525" t="s">
        <v>19</v>
      </c>
      <c r="H525" s="1">
        <v>44875</v>
      </c>
      <c r="I525" s="1">
        <v>45142</v>
      </c>
      <c r="J525" t="s">
        <v>2520</v>
      </c>
      <c r="K525" t="s">
        <v>28</v>
      </c>
      <c r="L525" t="s">
        <v>36</v>
      </c>
      <c r="M525">
        <v>0.22</v>
      </c>
      <c r="N525" t="s">
        <v>2521</v>
      </c>
      <c r="O525" t="s">
        <v>2522</v>
      </c>
      <c r="P525" t="s">
        <v>2523</v>
      </c>
    </row>
    <row r="526" spans="1:16" x14ac:dyDescent="0.45">
      <c r="A526" t="s">
        <v>2524</v>
      </c>
      <c r="B526">
        <v>38</v>
      </c>
      <c r="C526" t="s">
        <v>83</v>
      </c>
      <c r="D526" t="s">
        <v>41</v>
      </c>
      <c r="E526">
        <v>1107.56</v>
      </c>
      <c r="F526">
        <v>16793.88</v>
      </c>
      <c r="G526" t="s">
        <v>104</v>
      </c>
      <c r="H526" s="1">
        <v>44790</v>
      </c>
      <c r="I526" s="1">
        <v>44835</v>
      </c>
      <c r="J526" t="s">
        <v>2525</v>
      </c>
      <c r="K526" t="s">
        <v>21</v>
      </c>
      <c r="L526" t="s">
        <v>43</v>
      </c>
      <c r="M526">
        <v>0.76</v>
      </c>
      <c r="N526" t="s">
        <v>2526</v>
      </c>
      <c r="O526" t="s">
        <v>2527</v>
      </c>
      <c r="P526" t="s">
        <v>2528</v>
      </c>
    </row>
    <row r="527" spans="1:16" x14ac:dyDescent="0.45">
      <c r="A527" t="s">
        <v>2529</v>
      </c>
      <c r="B527">
        <v>25</v>
      </c>
      <c r="C527" t="s">
        <v>40</v>
      </c>
      <c r="D527" t="s">
        <v>33</v>
      </c>
      <c r="E527">
        <v>1149.06</v>
      </c>
      <c r="F527">
        <v>5155.09</v>
      </c>
      <c r="G527" t="s">
        <v>19</v>
      </c>
      <c r="H527" s="1">
        <v>44856</v>
      </c>
      <c r="I527" s="1">
        <v>45801</v>
      </c>
      <c r="J527" t="s">
        <v>2530</v>
      </c>
      <c r="K527" t="s">
        <v>35</v>
      </c>
      <c r="L527" t="s">
        <v>36</v>
      </c>
      <c r="M527">
        <v>0.68</v>
      </c>
      <c r="N527" t="s">
        <v>2531</v>
      </c>
      <c r="O527" t="s">
        <v>2532</v>
      </c>
      <c r="P527" t="s">
        <v>2533</v>
      </c>
    </row>
    <row r="528" spans="1:16" x14ac:dyDescent="0.45">
      <c r="A528" t="s">
        <v>2534</v>
      </c>
      <c r="B528">
        <v>33</v>
      </c>
      <c r="C528" t="s">
        <v>26</v>
      </c>
      <c r="D528" t="s">
        <v>67</v>
      </c>
      <c r="E528">
        <v>3079.24</v>
      </c>
      <c r="F528">
        <v>3092.02</v>
      </c>
      <c r="G528" t="s">
        <v>85</v>
      </c>
      <c r="H528" s="1">
        <v>45320</v>
      </c>
      <c r="I528" s="1">
        <v>45753</v>
      </c>
      <c r="J528" t="s">
        <v>2535</v>
      </c>
      <c r="K528" t="s">
        <v>50</v>
      </c>
      <c r="L528" t="s">
        <v>22</v>
      </c>
      <c r="M528">
        <v>0.66</v>
      </c>
      <c r="N528" t="s">
        <v>2536</v>
      </c>
      <c r="O528" t="s">
        <v>2537</v>
      </c>
      <c r="P528" t="s">
        <v>2538</v>
      </c>
    </row>
    <row r="529" spans="1:16" x14ac:dyDescent="0.45">
      <c r="A529" t="s">
        <v>2539</v>
      </c>
      <c r="B529">
        <v>74</v>
      </c>
      <c r="C529" t="s">
        <v>17</v>
      </c>
      <c r="D529" t="s">
        <v>18</v>
      </c>
      <c r="E529">
        <v>1703.59</v>
      </c>
      <c r="F529">
        <v>12260.9</v>
      </c>
      <c r="G529" t="s">
        <v>19</v>
      </c>
      <c r="H529" s="1">
        <v>45469</v>
      </c>
      <c r="I529" s="1">
        <v>45672</v>
      </c>
      <c r="J529" t="s">
        <v>2540</v>
      </c>
      <c r="K529" t="s">
        <v>35</v>
      </c>
      <c r="L529" t="s">
        <v>36</v>
      </c>
      <c r="M529">
        <v>0.11</v>
      </c>
      <c r="N529" t="s">
        <v>2541</v>
      </c>
      <c r="O529">
        <v>61724980159</v>
      </c>
      <c r="P529" t="s">
        <v>2542</v>
      </c>
    </row>
    <row r="530" spans="1:16" x14ac:dyDescent="0.45">
      <c r="A530" t="s">
        <v>2543</v>
      </c>
      <c r="B530">
        <v>25</v>
      </c>
      <c r="C530" t="s">
        <v>83</v>
      </c>
      <c r="D530" t="s">
        <v>33</v>
      </c>
      <c r="E530">
        <v>1304.47</v>
      </c>
      <c r="F530">
        <v>3454.21</v>
      </c>
      <c r="G530" t="s">
        <v>19</v>
      </c>
      <c r="H530" s="1">
        <v>45322</v>
      </c>
      <c r="I530" s="1">
        <v>45721</v>
      </c>
      <c r="J530" t="s">
        <v>2544</v>
      </c>
      <c r="K530" t="s">
        <v>21</v>
      </c>
      <c r="L530" t="s">
        <v>36</v>
      </c>
      <c r="M530">
        <v>0.74</v>
      </c>
      <c r="N530" t="s">
        <v>2545</v>
      </c>
      <c r="O530" t="s">
        <v>2546</v>
      </c>
      <c r="P530" t="s">
        <v>2547</v>
      </c>
    </row>
    <row r="531" spans="1:16" x14ac:dyDescent="0.45">
      <c r="A531" t="s">
        <v>2548</v>
      </c>
      <c r="B531">
        <v>51</v>
      </c>
      <c r="C531" t="s">
        <v>32</v>
      </c>
      <c r="D531" t="s">
        <v>33</v>
      </c>
      <c r="E531">
        <v>3042.59</v>
      </c>
      <c r="F531">
        <v>3323.62</v>
      </c>
      <c r="G531" t="s">
        <v>19</v>
      </c>
      <c r="H531" s="1">
        <v>44843</v>
      </c>
      <c r="I531" s="1">
        <v>45351</v>
      </c>
      <c r="J531" t="s">
        <v>2549</v>
      </c>
      <c r="K531" t="s">
        <v>50</v>
      </c>
      <c r="L531" t="s">
        <v>36</v>
      </c>
      <c r="M531">
        <v>0.45</v>
      </c>
      <c r="N531" t="s">
        <v>2550</v>
      </c>
      <c r="O531" t="s">
        <v>2551</v>
      </c>
      <c r="P531" t="s">
        <v>2552</v>
      </c>
    </row>
    <row r="532" spans="1:16" x14ac:dyDescent="0.45">
      <c r="A532" t="s">
        <v>2553</v>
      </c>
      <c r="B532">
        <v>50</v>
      </c>
      <c r="C532" t="s">
        <v>17</v>
      </c>
      <c r="D532" t="s">
        <v>18</v>
      </c>
      <c r="E532">
        <v>2497.0100000000002</v>
      </c>
      <c r="F532">
        <v>4343.12</v>
      </c>
      <c r="G532" t="s">
        <v>19</v>
      </c>
      <c r="H532" s="1">
        <v>45293</v>
      </c>
      <c r="I532" s="1">
        <v>45491</v>
      </c>
      <c r="J532" t="s">
        <v>2554</v>
      </c>
      <c r="K532" t="s">
        <v>28</v>
      </c>
      <c r="L532" t="s">
        <v>22</v>
      </c>
      <c r="M532">
        <v>0.36</v>
      </c>
      <c r="N532" t="s">
        <v>2555</v>
      </c>
      <c r="O532">
        <f>61-7-6521-8391</f>
        <v>-14858</v>
      </c>
      <c r="P532" t="s">
        <v>2556</v>
      </c>
    </row>
    <row r="533" spans="1:16" x14ac:dyDescent="0.45">
      <c r="A533" t="s">
        <v>2557</v>
      </c>
      <c r="B533">
        <v>69</v>
      </c>
      <c r="C533" t="s">
        <v>48</v>
      </c>
      <c r="D533" t="s">
        <v>33</v>
      </c>
      <c r="E533">
        <v>1913.5</v>
      </c>
      <c r="F533">
        <v>962.37</v>
      </c>
      <c r="G533" t="s">
        <v>104</v>
      </c>
      <c r="H533" s="1">
        <v>45264</v>
      </c>
      <c r="I533" s="1">
        <v>45679</v>
      </c>
      <c r="J533" t="s">
        <v>2558</v>
      </c>
      <c r="K533" t="s">
        <v>50</v>
      </c>
      <c r="L533" t="s">
        <v>43</v>
      </c>
      <c r="M533">
        <v>7.0000000000000007E-2</v>
      </c>
      <c r="N533" t="s">
        <v>2559</v>
      </c>
      <c r="O533" t="s">
        <v>2560</v>
      </c>
      <c r="P533" t="s">
        <v>2561</v>
      </c>
    </row>
    <row r="534" spans="1:16" x14ac:dyDescent="0.45">
      <c r="A534" t="s">
        <v>2562</v>
      </c>
      <c r="B534">
        <v>71</v>
      </c>
      <c r="C534" t="s">
        <v>17</v>
      </c>
      <c r="D534" t="s">
        <v>18</v>
      </c>
      <c r="E534">
        <v>1407.06</v>
      </c>
      <c r="F534">
        <v>17170.23</v>
      </c>
      <c r="G534" t="s">
        <v>19</v>
      </c>
      <c r="H534" s="1">
        <v>45403</v>
      </c>
      <c r="I534" s="1">
        <v>45771</v>
      </c>
      <c r="J534" t="s">
        <v>2563</v>
      </c>
      <c r="K534" t="s">
        <v>28</v>
      </c>
      <c r="L534" t="s">
        <v>36</v>
      </c>
      <c r="M534">
        <v>0.8</v>
      </c>
      <c r="N534" t="s">
        <v>2564</v>
      </c>
      <c r="O534" t="s">
        <v>2565</v>
      </c>
      <c r="P534" t="s">
        <v>2566</v>
      </c>
    </row>
    <row r="535" spans="1:16" x14ac:dyDescent="0.45">
      <c r="A535" t="s">
        <v>2567</v>
      </c>
      <c r="B535">
        <v>73</v>
      </c>
      <c r="C535" t="s">
        <v>40</v>
      </c>
      <c r="D535" t="s">
        <v>84</v>
      </c>
      <c r="E535">
        <v>1317.24</v>
      </c>
      <c r="F535">
        <v>19429.91</v>
      </c>
      <c r="G535" t="s">
        <v>104</v>
      </c>
      <c r="H535" s="1">
        <v>45030</v>
      </c>
      <c r="I535" s="1">
        <v>45278</v>
      </c>
      <c r="J535" t="s">
        <v>2568</v>
      </c>
      <c r="K535" t="s">
        <v>50</v>
      </c>
      <c r="L535" t="s">
        <v>43</v>
      </c>
      <c r="M535">
        <v>0.53</v>
      </c>
      <c r="N535" t="s">
        <v>2569</v>
      </c>
      <c r="O535" t="s">
        <v>2570</v>
      </c>
      <c r="P535" t="s">
        <v>2571</v>
      </c>
    </row>
    <row r="536" spans="1:16" x14ac:dyDescent="0.45">
      <c r="A536" t="s">
        <v>2572</v>
      </c>
      <c r="B536">
        <v>46</v>
      </c>
      <c r="C536" t="s">
        <v>83</v>
      </c>
      <c r="D536" t="s">
        <v>67</v>
      </c>
      <c r="E536">
        <v>3796.46</v>
      </c>
      <c r="F536">
        <v>19509.54</v>
      </c>
      <c r="G536" t="s">
        <v>85</v>
      </c>
      <c r="H536" s="1">
        <v>45200</v>
      </c>
      <c r="I536" s="1">
        <v>45567</v>
      </c>
      <c r="J536" t="s">
        <v>2573</v>
      </c>
      <c r="K536" t="s">
        <v>28</v>
      </c>
      <c r="L536" t="s">
        <v>43</v>
      </c>
      <c r="M536">
        <v>0.97</v>
      </c>
      <c r="N536" t="s">
        <v>2574</v>
      </c>
      <c r="O536" t="s">
        <v>2575</v>
      </c>
      <c r="P536" t="s">
        <v>2576</v>
      </c>
    </row>
    <row r="537" spans="1:16" x14ac:dyDescent="0.45">
      <c r="A537" t="s">
        <v>2577</v>
      </c>
      <c r="B537">
        <v>75</v>
      </c>
      <c r="C537" t="s">
        <v>83</v>
      </c>
      <c r="D537" t="s">
        <v>41</v>
      </c>
      <c r="E537">
        <v>4179.3100000000004</v>
      </c>
      <c r="F537">
        <v>5991.22</v>
      </c>
      <c r="G537" t="s">
        <v>19</v>
      </c>
      <c r="H537" s="1">
        <v>44961</v>
      </c>
      <c r="I537" s="1">
        <v>45423</v>
      </c>
      <c r="J537" t="s">
        <v>2578</v>
      </c>
      <c r="K537" t="s">
        <v>50</v>
      </c>
      <c r="L537" t="s">
        <v>43</v>
      </c>
      <c r="M537">
        <v>0.64</v>
      </c>
      <c r="N537" t="s">
        <v>2579</v>
      </c>
      <c r="O537">
        <f>61-496-347-182</f>
        <v>-964</v>
      </c>
      <c r="P537" t="s">
        <v>2580</v>
      </c>
    </row>
    <row r="538" spans="1:16" x14ac:dyDescent="0.45">
      <c r="A538" t="s">
        <v>2581</v>
      </c>
      <c r="B538">
        <v>57</v>
      </c>
      <c r="C538" t="s">
        <v>55</v>
      </c>
      <c r="D538" t="s">
        <v>41</v>
      </c>
      <c r="E538">
        <v>629.41</v>
      </c>
      <c r="F538">
        <v>12625.04</v>
      </c>
      <c r="G538" t="s">
        <v>104</v>
      </c>
      <c r="H538" s="1">
        <v>44937</v>
      </c>
      <c r="I538" s="1">
        <v>45156</v>
      </c>
      <c r="J538" t="s">
        <v>2582</v>
      </c>
      <c r="K538" t="s">
        <v>21</v>
      </c>
      <c r="L538" t="s">
        <v>22</v>
      </c>
      <c r="M538">
        <v>0.61</v>
      </c>
      <c r="N538" t="s">
        <v>2583</v>
      </c>
      <c r="O538" t="s">
        <v>2584</v>
      </c>
      <c r="P538" t="s">
        <v>2585</v>
      </c>
    </row>
    <row r="539" spans="1:16" x14ac:dyDescent="0.45">
      <c r="A539" t="s">
        <v>2586</v>
      </c>
      <c r="B539">
        <v>35</v>
      </c>
      <c r="C539" t="s">
        <v>32</v>
      </c>
      <c r="D539" t="s">
        <v>67</v>
      </c>
      <c r="E539">
        <v>2643.93</v>
      </c>
      <c r="F539">
        <v>7095.23</v>
      </c>
      <c r="G539" t="s">
        <v>85</v>
      </c>
      <c r="H539" s="1">
        <v>45461</v>
      </c>
      <c r="I539" s="1">
        <v>45789</v>
      </c>
      <c r="J539" t="s">
        <v>2587</v>
      </c>
      <c r="K539" t="s">
        <v>35</v>
      </c>
      <c r="L539" t="s">
        <v>22</v>
      </c>
      <c r="M539">
        <v>0.1</v>
      </c>
      <c r="N539" t="s">
        <v>2588</v>
      </c>
      <c r="O539" t="s">
        <v>2589</v>
      </c>
      <c r="P539" t="s">
        <v>2590</v>
      </c>
    </row>
    <row r="540" spans="1:16" x14ac:dyDescent="0.45">
      <c r="A540" t="s">
        <v>2591</v>
      </c>
      <c r="B540">
        <v>33</v>
      </c>
      <c r="C540" t="s">
        <v>66</v>
      </c>
      <c r="D540" t="s">
        <v>33</v>
      </c>
      <c r="E540">
        <v>2762.87</v>
      </c>
      <c r="F540">
        <v>19483.54</v>
      </c>
      <c r="G540" t="s">
        <v>104</v>
      </c>
      <c r="H540" s="1">
        <v>45277</v>
      </c>
      <c r="I540" s="1">
        <v>45451</v>
      </c>
      <c r="J540" t="s">
        <v>2592</v>
      </c>
      <c r="K540" t="s">
        <v>50</v>
      </c>
      <c r="L540" t="s">
        <v>36</v>
      </c>
      <c r="M540">
        <v>0.69</v>
      </c>
      <c r="N540" t="s">
        <v>2593</v>
      </c>
      <c r="O540" t="s">
        <v>2594</v>
      </c>
      <c r="P540" t="s">
        <v>2595</v>
      </c>
    </row>
    <row r="541" spans="1:16" x14ac:dyDescent="0.45">
      <c r="A541" t="s">
        <v>2596</v>
      </c>
      <c r="B541">
        <v>23</v>
      </c>
      <c r="C541" t="s">
        <v>32</v>
      </c>
      <c r="D541" t="s">
        <v>67</v>
      </c>
      <c r="E541">
        <v>3884.61</v>
      </c>
      <c r="F541">
        <v>6980.44</v>
      </c>
      <c r="G541" t="s">
        <v>19</v>
      </c>
      <c r="H541" s="1">
        <v>45362</v>
      </c>
      <c r="I541" s="1">
        <v>45577</v>
      </c>
      <c r="J541" t="s">
        <v>2597</v>
      </c>
      <c r="K541" t="s">
        <v>35</v>
      </c>
      <c r="L541" t="s">
        <v>36</v>
      </c>
      <c r="M541">
        <v>0</v>
      </c>
      <c r="N541" t="s">
        <v>2598</v>
      </c>
      <c r="O541" t="s">
        <v>2599</v>
      </c>
      <c r="P541" t="s">
        <v>2600</v>
      </c>
    </row>
    <row r="542" spans="1:16" x14ac:dyDescent="0.45">
      <c r="A542" t="s">
        <v>2601</v>
      </c>
      <c r="B542">
        <v>36</v>
      </c>
      <c r="C542" t="s">
        <v>66</v>
      </c>
      <c r="D542" t="s">
        <v>18</v>
      </c>
      <c r="E542">
        <v>4048.29</v>
      </c>
      <c r="F542">
        <v>15670.36</v>
      </c>
      <c r="G542" t="s">
        <v>104</v>
      </c>
      <c r="H542" s="1">
        <v>45045</v>
      </c>
      <c r="I542" s="1">
        <v>45163</v>
      </c>
      <c r="J542" t="s">
        <v>2602</v>
      </c>
      <c r="K542" t="s">
        <v>21</v>
      </c>
      <c r="L542" t="s">
        <v>36</v>
      </c>
      <c r="M542">
        <v>0.41</v>
      </c>
      <c r="N542" t="s">
        <v>2603</v>
      </c>
      <c r="O542">
        <v>61263354774</v>
      </c>
      <c r="P542" t="s">
        <v>2604</v>
      </c>
    </row>
    <row r="543" spans="1:16" x14ac:dyDescent="0.45">
      <c r="A543" t="s">
        <v>2605</v>
      </c>
      <c r="B543">
        <v>61</v>
      </c>
      <c r="C543" t="s">
        <v>66</v>
      </c>
      <c r="D543" t="s">
        <v>18</v>
      </c>
      <c r="E543">
        <v>786.13</v>
      </c>
      <c r="F543">
        <v>12314.17</v>
      </c>
      <c r="G543" t="s">
        <v>104</v>
      </c>
      <c r="H543" s="1">
        <v>45438</v>
      </c>
      <c r="I543" s="1">
        <v>45804</v>
      </c>
      <c r="J543" t="s">
        <v>2606</v>
      </c>
      <c r="K543" t="s">
        <v>50</v>
      </c>
      <c r="L543" t="s">
        <v>43</v>
      </c>
      <c r="M543">
        <v>0</v>
      </c>
      <c r="N543" t="s">
        <v>2607</v>
      </c>
      <c r="O543" t="s">
        <v>2608</v>
      </c>
      <c r="P543" t="s">
        <v>2609</v>
      </c>
    </row>
    <row r="544" spans="1:16" x14ac:dyDescent="0.45">
      <c r="A544" t="s">
        <v>2610</v>
      </c>
      <c r="B544">
        <v>42</v>
      </c>
      <c r="C544" t="s">
        <v>55</v>
      </c>
      <c r="D544" t="s">
        <v>18</v>
      </c>
      <c r="E544">
        <v>2962.77</v>
      </c>
      <c r="F544">
        <v>5103.32</v>
      </c>
      <c r="G544" t="s">
        <v>104</v>
      </c>
      <c r="H544" s="1">
        <v>45050</v>
      </c>
      <c r="I544" s="1">
        <v>45276</v>
      </c>
      <c r="J544" t="s">
        <v>2611</v>
      </c>
      <c r="K544" t="s">
        <v>21</v>
      </c>
      <c r="L544" t="s">
        <v>22</v>
      </c>
      <c r="M544">
        <v>0.47</v>
      </c>
      <c r="N544" t="s">
        <v>2612</v>
      </c>
      <c r="O544">
        <v>6984.8249999999998</v>
      </c>
      <c r="P544" t="s">
        <v>1994</v>
      </c>
    </row>
    <row r="545" spans="1:16" x14ac:dyDescent="0.45">
      <c r="A545" t="s">
        <v>2613</v>
      </c>
      <c r="B545">
        <v>74</v>
      </c>
      <c r="C545" t="s">
        <v>66</v>
      </c>
      <c r="D545" t="s">
        <v>67</v>
      </c>
      <c r="E545">
        <v>3652</v>
      </c>
      <c r="F545">
        <v>11050.47</v>
      </c>
      <c r="G545" t="s">
        <v>19</v>
      </c>
      <c r="H545" s="1">
        <v>45014</v>
      </c>
      <c r="I545" s="1">
        <v>45764</v>
      </c>
      <c r="J545" t="s">
        <v>2614</v>
      </c>
      <c r="K545" t="s">
        <v>50</v>
      </c>
      <c r="L545" t="s">
        <v>43</v>
      </c>
      <c r="M545">
        <v>0.33</v>
      </c>
      <c r="N545" t="s">
        <v>2615</v>
      </c>
      <c r="O545" t="s">
        <v>2616</v>
      </c>
      <c r="P545" t="s">
        <v>2617</v>
      </c>
    </row>
    <row r="546" spans="1:16" x14ac:dyDescent="0.45">
      <c r="A546" t="s">
        <v>2618</v>
      </c>
      <c r="B546">
        <v>21</v>
      </c>
      <c r="C546" t="s">
        <v>83</v>
      </c>
      <c r="D546" t="s">
        <v>18</v>
      </c>
      <c r="E546">
        <v>1691.34</v>
      </c>
      <c r="F546">
        <v>4106.93</v>
      </c>
      <c r="G546" t="s">
        <v>104</v>
      </c>
      <c r="H546" s="1">
        <v>45373</v>
      </c>
      <c r="I546" s="1">
        <v>45499</v>
      </c>
      <c r="J546" t="s">
        <v>2619</v>
      </c>
      <c r="K546" t="s">
        <v>21</v>
      </c>
      <c r="L546" t="s">
        <v>22</v>
      </c>
      <c r="M546">
        <v>0.57999999999999996</v>
      </c>
      <c r="N546" t="s">
        <v>2620</v>
      </c>
      <c r="O546" t="s">
        <v>2621</v>
      </c>
      <c r="P546" t="s">
        <v>2622</v>
      </c>
    </row>
    <row r="547" spans="1:16" x14ac:dyDescent="0.45">
      <c r="A547" t="s">
        <v>2623</v>
      </c>
      <c r="B547">
        <v>57</v>
      </c>
      <c r="C547" t="s">
        <v>32</v>
      </c>
      <c r="D547" t="s">
        <v>33</v>
      </c>
      <c r="E547">
        <v>2665.84</v>
      </c>
      <c r="F547">
        <v>18668.41</v>
      </c>
      <c r="G547" t="s">
        <v>104</v>
      </c>
      <c r="H547" s="1">
        <v>44793</v>
      </c>
      <c r="I547" s="1">
        <v>45243</v>
      </c>
      <c r="J547" t="s">
        <v>2624</v>
      </c>
      <c r="K547" t="s">
        <v>28</v>
      </c>
      <c r="L547" t="s">
        <v>22</v>
      </c>
      <c r="M547">
        <v>0.83</v>
      </c>
      <c r="N547" t="s">
        <v>2625</v>
      </c>
      <c r="O547">
        <f>61-433-51-824</f>
        <v>-1247</v>
      </c>
      <c r="P547" t="s">
        <v>2626</v>
      </c>
    </row>
    <row r="548" spans="1:16" x14ac:dyDescent="0.45">
      <c r="A548" t="s">
        <v>2627</v>
      </c>
      <c r="B548">
        <v>19</v>
      </c>
      <c r="C548" t="s">
        <v>40</v>
      </c>
      <c r="D548" t="s">
        <v>67</v>
      </c>
      <c r="E548">
        <v>4864.76</v>
      </c>
      <c r="F548">
        <v>13032.68</v>
      </c>
      <c r="G548" t="s">
        <v>19</v>
      </c>
      <c r="H548" s="1">
        <v>45393</v>
      </c>
      <c r="I548" s="1">
        <v>45409</v>
      </c>
      <c r="J548" t="s">
        <v>2628</v>
      </c>
      <c r="K548" t="s">
        <v>21</v>
      </c>
      <c r="L548" t="s">
        <v>36</v>
      </c>
      <c r="M548">
        <v>0.56999999999999995</v>
      </c>
      <c r="N548" t="s">
        <v>2629</v>
      </c>
      <c r="O548" t="s">
        <v>2630</v>
      </c>
      <c r="P548" t="s">
        <v>2631</v>
      </c>
    </row>
    <row r="549" spans="1:16" x14ac:dyDescent="0.45">
      <c r="A549" t="s">
        <v>2632</v>
      </c>
      <c r="B549">
        <v>33</v>
      </c>
      <c r="C549" t="s">
        <v>26</v>
      </c>
      <c r="D549" t="s">
        <v>84</v>
      </c>
      <c r="E549">
        <v>1583.35</v>
      </c>
      <c r="F549">
        <v>14529.15</v>
      </c>
      <c r="G549" t="s">
        <v>19</v>
      </c>
      <c r="H549" s="1">
        <v>44859</v>
      </c>
      <c r="I549" s="1">
        <v>45310</v>
      </c>
      <c r="J549" t="s">
        <v>2633</v>
      </c>
      <c r="K549" t="s">
        <v>50</v>
      </c>
      <c r="L549" t="s">
        <v>43</v>
      </c>
      <c r="M549">
        <v>0.28000000000000003</v>
      </c>
      <c r="N549" t="s">
        <v>2634</v>
      </c>
      <c r="O549">
        <v>5850.0596999999998</v>
      </c>
      <c r="P549" t="s">
        <v>2635</v>
      </c>
    </row>
    <row r="550" spans="1:16" x14ac:dyDescent="0.45">
      <c r="A550" t="s">
        <v>2636</v>
      </c>
      <c r="B550">
        <v>42</v>
      </c>
      <c r="C550" t="s">
        <v>17</v>
      </c>
      <c r="D550" t="s">
        <v>67</v>
      </c>
      <c r="E550">
        <v>2046.12</v>
      </c>
      <c r="F550">
        <v>5058.17</v>
      </c>
      <c r="G550" t="s">
        <v>19</v>
      </c>
      <c r="H550" s="1">
        <v>45491</v>
      </c>
      <c r="I550" s="1">
        <v>45523</v>
      </c>
      <c r="J550" t="s">
        <v>2637</v>
      </c>
      <c r="K550" t="s">
        <v>35</v>
      </c>
      <c r="L550" t="s">
        <v>36</v>
      </c>
      <c r="M550">
        <v>0.34</v>
      </c>
      <c r="N550" t="s">
        <v>2638</v>
      </c>
      <c r="O550" t="s">
        <v>2639</v>
      </c>
      <c r="P550" t="s">
        <v>2640</v>
      </c>
    </row>
    <row r="551" spans="1:16" x14ac:dyDescent="0.45">
      <c r="A551" t="s">
        <v>2641</v>
      </c>
      <c r="B551">
        <v>62</v>
      </c>
      <c r="C551" t="s">
        <v>83</v>
      </c>
      <c r="D551" t="s">
        <v>84</v>
      </c>
      <c r="E551">
        <v>1727.78</v>
      </c>
      <c r="F551">
        <v>16817.59</v>
      </c>
      <c r="G551" t="s">
        <v>19</v>
      </c>
      <c r="H551" s="1">
        <v>45389</v>
      </c>
      <c r="I551" s="1">
        <v>45494</v>
      </c>
      <c r="J551" t="s">
        <v>2642</v>
      </c>
      <c r="K551" t="s">
        <v>50</v>
      </c>
      <c r="L551" t="s">
        <v>43</v>
      </c>
      <c r="M551">
        <v>0.05</v>
      </c>
      <c r="N551" t="s">
        <v>2643</v>
      </c>
      <c r="O551" t="s">
        <v>2644</v>
      </c>
      <c r="P551" t="s">
        <v>2645</v>
      </c>
    </row>
    <row r="552" spans="1:16" x14ac:dyDescent="0.45">
      <c r="A552" t="s">
        <v>2646</v>
      </c>
      <c r="B552">
        <v>38</v>
      </c>
      <c r="C552" t="s">
        <v>48</v>
      </c>
      <c r="D552" t="s">
        <v>18</v>
      </c>
      <c r="E552">
        <v>2368.4499999999998</v>
      </c>
      <c r="F552">
        <v>7740.26</v>
      </c>
      <c r="G552" t="s">
        <v>19</v>
      </c>
      <c r="H552" s="1">
        <v>44838</v>
      </c>
      <c r="I552" s="1">
        <v>44942</v>
      </c>
      <c r="J552" t="s">
        <v>2647</v>
      </c>
      <c r="K552" t="s">
        <v>28</v>
      </c>
      <c r="L552" t="s">
        <v>36</v>
      </c>
      <c r="M552">
        <v>0.41</v>
      </c>
      <c r="N552" t="s">
        <v>2648</v>
      </c>
      <c r="O552" t="s">
        <v>2649</v>
      </c>
      <c r="P552" t="s">
        <v>338</v>
      </c>
    </row>
    <row r="553" spans="1:16" x14ac:dyDescent="0.45">
      <c r="A553" t="s">
        <v>2650</v>
      </c>
      <c r="B553">
        <v>75</v>
      </c>
      <c r="C553" t="s">
        <v>26</v>
      </c>
      <c r="D553" t="s">
        <v>41</v>
      </c>
      <c r="E553">
        <v>2530.0300000000002</v>
      </c>
      <c r="F553">
        <v>7851.43</v>
      </c>
      <c r="G553" t="s">
        <v>19</v>
      </c>
      <c r="H553" s="1">
        <v>45402</v>
      </c>
      <c r="I553" s="1">
        <v>45445</v>
      </c>
      <c r="J553" t="s">
        <v>2651</v>
      </c>
      <c r="K553" t="s">
        <v>28</v>
      </c>
      <c r="L553" t="s">
        <v>22</v>
      </c>
      <c r="M553">
        <v>0.26</v>
      </c>
      <c r="N553" t="s">
        <v>2652</v>
      </c>
      <c r="O553" t="s">
        <v>2653</v>
      </c>
      <c r="P553" t="s">
        <v>2654</v>
      </c>
    </row>
    <row r="554" spans="1:16" x14ac:dyDescent="0.45">
      <c r="A554" t="s">
        <v>1597</v>
      </c>
      <c r="B554">
        <v>22</v>
      </c>
      <c r="C554" t="s">
        <v>40</v>
      </c>
      <c r="D554" t="s">
        <v>67</v>
      </c>
      <c r="E554">
        <v>4566.41</v>
      </c>
      <c r="F554">
        <v>465.3</v>
      </c>
      <c r="G554" t="s">
        <v>19</v>
      </c>
      <c r="H554" s="1">
        <v>45359</v>
      </c>
      <c r="I554" s="1">
        <v>45511</v>
      </c>
      <c r="J554" t="s">
        <v>2655</v>
      </c>
      <c r="K554" t="s">
        <v>50</v>
      </c>
      <c r="L554" t="s">
        <v>22</v>
      </c>
      <c r="M554">
        <v>0.44</v>
      </c>
      <c r="N554" t="s">
        <v>2656</v>
      </c>
      <c r="O554">
        <f>61-482-834-52</f>
        <v>-1307</v>
      </c>
      <c r="P554" t="s">
        <v>2657</v>
      </c>
    </row>
    <row r="555" spans="1:16" x14ac:dyDescent="0.45">
      <c r="A555" t="s">
        <v>2658</v>
      </c>
      <c r="B555">
        <v>42</v>
      </c>
      <c r="C555" t="s">
        <v>32</v>
      </c>
      <c r="D555" t="s">
        <v>84</v>
      </c>
      <c r="E555">
        <v>3145.87</v>
      </c>
      <c r="F555">
        <v>1016.72</v>
      </c>
      <c r="G555" t="s">
        <v>104</v>
      </c>
      <c r="H555" s="1">
        <v>45460</v>
      </c>
      <c r="I555" s="1">
        <v>45852</v>
      </c>
      <c r="J555" t="s">
        <v>2659</v>
      </c>
      <c r="K555" t="s">
        <v>50</v>
      </c>
      <c r="L555" t="s">
        <v>36</v>
      </c>
      <c r="M555">
        <v>0.65</v>
      </c>
      <c r="N555" t="s">
        <v>2660</v>
      </c>
      <c r="O555">
        <v>891510212</v>
      </c>
      <c r="P555" t="s">
        <v>2661</v>
      </c>
    </row>
    <row r="556" spans="1:16" x14ac:dyDescent="0.45">
      <c r="A556" t="s">
        <v>2662</v>
      </c>
      <c r="B556">
        <v>56</v>
      </c>
      <c r="C556" t="s">
        <v>32</v>
      </c>
      <c r="D556" t="s">
        <v>84</v>
      </c>
      <c r="E556">
        <v>2905.68</v>
      </c>
      <c r="F556">
        <v>8092.88</v>
      </c>
      <c r="G556" t="s">
        <v>85</v>
      </c>
      <c r="H556" s="1">
        <v>44788</v>
      </c>
      <c r="I556" s="1">
        <v>44829</v>
      </c>
      <c r="J556" t="s">
        <v>2663</v>
      </c>
      <c r="K556" t="s">
        <v>21</v>
      </c>
      <c r="L556" t="s">
        <v>22</v>
      </c>
      <c r="M556">
        <v>0.98</v>
      </c>
      <c r="N556" t="s">
        <v>2664</v>
      </c>
      <c r="O556" t="s">
        <v>2665</v>
      </c>
      <c r="P556" t="s">
        <v>2666</v>
      </c>
    </row>
    <row r="557" spans="1:16" x14ac:dyDescent="0.45">
      <c r="A557" t="s">
        <v>2667</v>
      </c>
      <c r="B557">
        <v>39</v>
      </c>
      <c r="C557" t="s">
        <v>83</v>
      </c>
      <c r="D557" t="s">
        <v>84</v>
      </c>
      <c r="E557">
        <v>4557.82</v>
      </c>
      <c r="F557">
        <v>666.86</v>
      </c>
      <c r="G557" t="s">
        <v>19</v>
      </c>
      <c r="H557" s="1">
        <v>44855</v>
      </c>
      <c r="I557" s="1">
        <v>45458</v>
      </c>
      <c r="J557" t="s">
        <v>2668</v>
      </c>
      <c r="K557" t="s">
        <v>21</v>
      </c>
      <c r="L557" t="s">
        <v>22</v>
      </c>
      <c r="M557">
        <v>0.8</v>
      </c>
      <c r="N557" t="s">
        <v>2669</v>
      </c>
      <c r="O557">
        <v>7601.9335000000001</v>
      </c>
      <c r="P557" t="s">
        <v>2670</v>
      </c>
    </row>
    <row r="558" spans="1:16" x14ac:dyDescent="0.45">
      <c r="A558" t="s">
        <v>2110</v>
      </c>
      <c r="B558">
        <v>66</v>
      </c>
      <c r="C558" t="s">
        <v>26</v>
      </c>
      <c r="D558" t="s">
        <v>67</v>
      </c>
      <c r="E558">
        <v>3790.78</v>
      </c>
      <c r="F558">
        <v>19416.04</v>
      </c>
      <c r="G558" t="s">
        <v>19</v>
      </c>
      <c r="H558" s="1">
        <v>45198</v>
      </c>
      <c r="I558" s="1">
        <v>45425</v>
      </c>
      <c r="J558" t="s">
        <v>2671</v>
      </c>
      <c r="K558" t="s">
        <v>35</v>
      </c>
      <c r="L558" t="s">
        <v>36</v>
      </c>
      <c r="M558">
        <v>0.9</v>
      </c>
      <c r="N558" t="s">
        <v>2672</v>
      </c>
      <c r="O558">
        <f>61-8-7347-939</f>
        <v>-8233</v>
      </c>
      <c r="P558" t="s">
        <v>2673</v>
      </c>
    </row>
    <row r="559" spans="1:16" x14ac:dyDescent="0.45">
      <c r="A559" t="s">
        <v>2674</v>
      </c>
      <c r="B559">
        <v>20</v>
      </c>
      <c r="C559" t="s">
        <v>26</v>
      </c>
      <c r="D559" t="s">
        <v>67</v>
      </c>
      <c r="E559">
        <v>1472.43</v>
      </c>
      <c r="F559">
        <v>2056.14</v>
      </c>
      <c r="G559" t="s">
        <v>85</v>
      </c>
      <c r="H559" s="1">
        <v>44916</v>
      </c>
      <c r="I559" s="1">
        <v>45034</v>
      </c>
      <c r="J559" t="s">
        <v>2675</v>
      </c>
      <c r="K559" t="s">
        <v>50</v>
      </c>
      <c r="L559" t="s">
        <v>43</v>
      </c>
      <c r="M559">
        <v>0.89</v>
      </c>
      <c r="N559" t="s">
        <v>2676</v>
      </c>
      <c r="O559" t="s">
        <v>2677</v>
      </c>
      <c r="P559" t="s">
        <v>2678</v>
      </c>
    </row>
    <row r="560" spans="1:16" x14ac:dyDescent="0.45">
      <c r="A560" t="s">
        <v>2679</v>
      </c>
      <c r="B560">
        <v>31</v>
      </c>
      <c r="C560" t="s">
        <v>66</v>
      </c>
      <c r="D560" t="s">
        <v>41</v>
      </c>
      <c r="E560">
        <v>3243.01</v>
      </c>
      <c r="F560">
        <v>8029.97</v>
      </c>
      <c r="G560" t="s">
        <v>104</v>
      </c>
      <c r="H560" s="1">
        <v>45242</v>
      </c>
      <c r="I560" s="1">
        <v>45514</v>
      </c>
      <c r="J560" t="s">
        <v>2680</v>
      </c>
      <c r="K560" t="s">
        <v>28</v>
      </c>
      <c r="L560" t="s">
        <v>22</v>
      </c>
      <c r="M560">
        <v>0.4</v>
      </c>
      <c r="N560" t="s">
        <v>2681</v>
      </c>
      <c r="O560" t="s">
        <v>2682</v>
      </c>
      <c r="P560" t="s">
        <v>2683</v>
      </c>
    </row>
    <row r="561" spans="1:16" x14ac:dyDescent="0.45">
      <c r="A561" t="s">
        <v>2684</v>
      </c>
      <c r="B561">
        <v>35</v>
      </c>
      <c r="C561" t="s">
        <v>83</v>
      </c>
      <c r="D561" t="s">
        <v>41</v>
      </c>
      <c r="E561">
        <v>4297.0600000000004</v>
      </c>
      <c r="F561">
        <v>16253.29</v>
      </c>
      <c r="G561" t="s">
        <v>19</v>
      </c>
      <c r="H561" s="1">
        <v>45092</v>
      </c>
      <c r="I561" s="1">
        <v>45490</v>
      </c>
      <c r="J561" t="s">
        <v>2685</v>
      </c>
      <c r="K561" t="s">
        <v>28</v>
      </c>
      <c r="L561" t="s">
        <v>22</v>
      </c>
      <c r="M561">
        <v>0.86</v>
      </c>
      <c r="N561" t="s">
        <v>2686</v>
      </c>
      <c r="O561" t="s">
        <v>2687</v>
      </c>
      <c r="P561" t="s">
        <v>2688</v>
      </c>
    </row>
    <row r="562" spans="1:16" x14ac:dyDescent="0.45">
      <c r="A562" t="s">
        <v>2689</v>
      </c>
      <c r="B562">
        <v>40</v>
      </c>
      <c r="C562" t="s">
        <v>66</v>
      </c>
      <c r="D562" t="s">
        <v>84</v>
      </c>
      <c r="E562">
        <v>3929.92</v>
      </c>
      <c r="F562">
        <v>11939.38</v>
      </c>
      <c r="G562" t="s">
        <v>19</v>
      </c>
      <c r="H562" s="1">
        <v>44783</v>
      </c>
      <c r="I562" s="1">
        <v>44971</v>
      </c>
      <c r="J562" t="s">
        <v>2690</v>
      </c>
      <c r="K562" t="s">
        <v>21</v>
      </c>
      <c r="L562" t="s">
        <v>36</v>
      </c>
      <c r="M562">
        <v>0.35</v>
      </c>
      <c r="N562" t="s">
        <v>2691</v>
      </c>
      <c r="O562" t="s">
        <v>2692</v>
      </c>
      <c r="P562" t="s">
        <v>2693</v>
      </c>
    </row>
    <row r="563" spans="1:16" x14ac:dyDescent="0.45">
      <c r="A563" t="s">
        <v>2694</v>
      </c>
      <c r="B563">
        <v>28</v>
      </c>
      <c r="C563" t="s">
        <v>48</v>
      </c>
      <c r="D563" t="s">
        <v>41</v>
      </c>
      <c r="E563">
        <v>3839.5</v>
      </c>
      <c r="F563">
        <v>11109.51</v>
      </c>
      <c r="G563" t="s">
        <v>19</v>
      </c>
      <c r="H563" s="1">
        <v>45036</v>
      </c>
      <c r="I563" s="1">
        <v>45491</v>
      </c>
      <c r="J563" t="s">
        <v>2695</v>
      </c>
      <c r="K563" t="s">
        <v>50</v>
      </c>
      <c r="L563" t="s">
        <v>36</v>
      </c>
      <c r="M563">
        <v>0.98</v>
      </c>
      <c r="N563" t="s">
        <v>2696</v>
      </c>
      <c r="O563">
        <v>61343111739</v>
      </c>
      <c r="P563" t="s">
        <v>2697</v>
      </c>
    </row>
    <row r="564" spans="1:16" x14ac:dyDescent="0.45">
      <c r="A564" t="s">
        <v>2698</v>
      </c>
      <c r="B564">
        <v>73</v>
      </c>
      <c r="C564" t="s">
        <v>55</v>
      </c>
      <c r="D564" t="s">
        <v>84</v>
      </c>
      <c r="E564">
        <v>2119.59</v>
      </c>
      <c r="F564">
        <v>10977.51</v>
      </c>
      <c r="G564" t="s">
        <v>19</v>
      </c>
      <c r="H564" s="1">
        <v>44958</v>
      </c>
      <c r="I564" s="1">
        <v>45503</v>
      </c>
      <c r="J564" t="s">
        <v>2699</v>
      </c>
      <c r="K564" t="s">
        <v>50</v>
      </c>
      <c r="L564" t="s">
        <v>43</v>
      </c>
      <c r="M564">
        <v>0.6</v>
      </c>
      <c r="N564" t="s">
        <v>2700</v>
      </c>
      <c r="O564" t="s">
        <v>2701</v>
      </c>
      <c r="P564" t="s">
        <v>2702</v>
      </c>
    </row>
    <row r="565" spans="1:16" x14ac:dyDescent="0.45">
      <c r="A565" t="s">
        <v>2703</v>
      </c>
      <c r="B565">
        <v>73</v>
      </c>
      <c r="C565" t="s">
        <v>83</v>
      </c>
      <c r="D565" t="s">
        <v>41</v>
      </c>
      <c r="E565">
        <v>3157.35</v>
      </c>
      <c r="F565">
        <v>12480.88</v>
      </c>
      <c r="G565" t="s">
        <v>85</v>
      </c>
      <c r="H565" s="1">
        <v>45480</v>
      </c>
      <c r="I565" s="1">
        <v>45632</v>
      </c>
      <c r="J565" t="s">
        <v>2704</v>
      </c>
      <c r="K565" t="s">
        <v>28</v>
      </c>
      <c r="L565" t="s">
        <v>43</v>
      </c>
      <c r="M565">
        <v>0.27</v>
      </c>
      <c r="N565" t="s">
        <v>2705</v>
      </c>
      <c r="O565">
        <v>293308876</v>
      </c>
      <c r="P565" t="s">
        <v>2706</v>
      </c>
    </row>
    <row r="566" spans="1:16" x14ac:dyDescent="0.45">
      <c r="A566" t="s">
        <v>2707</v>
      </c>
      <c r="B566">
        <v>22</v>
      </c>
      <c r="C566" t="s">
        <v>40</v>
      </c>
      <c r="D566" t="s">
        <v>41</v>
      </c>
      <c r="E566">
        <v>1960.18</v>
      </c>
      <c r="F566">
        <v>814.17</v>
      </c>
      <c r="G566" t="s">
        <v>19</v>
      </c>
      <c r="H566" s="1">
        <v>45086</v>
      </c>
      <c r="I566" s="1">
        <v>45162</v>
      </c>
      <c r="J566" t="s">
        <v>2708</v>
      </c>
      <c r="K566" t="s">
        <v>28</v>
      </c>
      <c r="L566" t="s">
        <v>43</v>
      </c>
      <c r="M566">
        <v>0.76</v>
      </c>
      <c r="N566" t="s">
        <v>2709</v>
      </c>
      <c r="O566" t="s">
        <v>2710</v>
      </c>
      <c r="P566" t="s">
        <v>2711</v>
      </c>
    </row>
    <row r="567" spans="1:16" x14ac:dyDescent="0.45">
      <c r="A567" t="s">
        <v>2712</v>
      </c>
      <c r="B567">
        <v>43</v>
      </c>
      <c r="C567" t="s">
        <v>66</v>
      </c>
      <c r="D567" t="s">
        <v>33</v>
      </c>
      <c r="E567">
        <v>1420.44</v>
      </c>
      <c r="F567">
        <v>1233.48</v>
      </c>
      <c r="G567" t="s">
        <v>19</v>
      </c>
      <c r="H567" s="1">
        <v>45073</v>
      </c>
      <c r="I567" s="1">
        <v>45090</v>
      </c>
      <c r="J567" t="s">
        <v>2713</v>
      </c>
      <c r="K567" t="s">
        <v>21</v>
      </c>
      <c r="L567" t="s">
        <v>43</v>
      </c>
      <c r="M567">
        <v>0.56999999999999995</v>
      </c>
      <c r="N567" t="s">
        <v>2714</v>
      </c>
      <c r="O567" t="s">
        <v>2715</v>
      </c>
      <c r="P567" t="s">
        <v>2716</v>
      </c>
    </row>
    <row r="568" spans="1:16" x14ac:dyDescent="0.45">
      <c r="A568" t="s">
        <v>2717</v>
      </c>
      <c r="B568">
        <v>58</v>
      </c>
      <c r="C568" t="s">
        <v>66</v>
      </c>
      <c r="D568" t="s">
        <v>18</v>
      </c>
      <c r="E568">
        <v>833.45</v>
      </c>
      <c r="F568">
        <v>15739.23</v>
      </c>
      <c r="G568" t="s">
        <v>19</v>
      </c>
      <c r="H568" s="1">
        <v>45403</v>
      </c>
      <c r="I568" s="1">
        <v>45521</v>
      </c>
      <c r="J568" t="s">
        <v>2718</v>
      </c>
      <c r="K568" t="s">
        <v>50</v>
      </c>
      <c r="L568" t="s">
        <v>43</v>
      </c>
      <c r="M568">
        <v>0.03</v>
      </c>
      <c r="N568" t="s">
        <v>2719</v>
      </c>
      <c r="O568" t="s">
        <v>2720</v>
      </c>
      <c r="P568" t="s">
        <v>2721</v>
      </c>
    </row>
    <row r="569" spans="1:16" x14ac:dyDescent="0.45">
      <c r="A569" t="s">
        <v>2722</v>
      </c>
      <c r="B569">
        <v>38</v>
      </c>
      <c r="C569" t="s">
        <v>26</v>
      </c>
      <c r="D569" t="s">
        <v>33</v>
      </c>
      <c r="E569">
        <v>2132.77</v>
      </c>
      <c r="F569">
        <v>1775.53</v>
      </c>
      <c r="G569" t="s">
        <v>19</v>
      </c>
      <c r="H569" s="1">
        <v>44923</v>
      </c>
      <c r="I569" s="1">
        <v>45118</v>
      </c>
      <c r="J569" t="s">
        <v>2723</v>
      </c>
      <c r="K569" t="s">
        <v>28</v>
      </c>
      <c r="L569" t="s">
        <v>36</v>
      </c>
      <c r="M569">
        <v>0.67</v>
      </c>
      <c r="N569" t="s">
        <v>2724</v>
      </c>
      <c r="O569" t="s">
        <v>2725</v>
      </c>
      <c r="P569" t="s">
        <v>2726</v>
      </c>
    </row>
    <row r="570" spans="1:16" x14ac:dyDescent="0.45">
      <c r="A570" t="s">
        <v>2727</v>
      </c>
      <c r="B570">
        <v>31</v>
      </c>
      <c r="C570" t="s">
        <v>26</v>
      </c>
      <c r="D570" t="s">
        <v>84</v>
      </c>
      <c r="E570">
        <v>3999.39</v>
      </c>
      <c r="F570">
        <v>13155.95</v>
      </c>
      <c r="G570" t="s">
        <v>19</v>
      </c>
      <c r="H570" s="1">
        <v>44984</v>
      </c>
      <c r="I570" s="1">
        <v>45746</v>
      </c>
      <c r="J570" t="s">
        <v>2728</v>
      </c>
      <c r="K570" t="s">
        <v>50</v>
      </c>
      <c r="L570" t="s">
        <v>43</v>
      </c>
      <c r="M570">
        <v>0.83</v>
      </c>
      <c r="N570" t="s">
        <v>2729</v>
      </c>
      <c r="O570" t="s">
        <v>2730</v>
      </c>
      <c r="P570" t="s">
        <v>2731</v>
      </c>
    </row>
    <row r="571" spans="1:16" x14ac:dyDescent="0.45">
      <c r="A571" t="s">
        <v>2732</v>
      </c>
      <c r="B571">
        <v>69</v>
      </c>
      <c r="C571" t="s">
        <v>55</v>
      </c>
      <c r="D571" t="s">
        <v>33</v>
      </c>
      <c r="E571">
        <v>2540.96</v>
      </c>
      <c r="F571">
        <v>2367.7399999999998</v>
      </c>
      <c r="G571" t="s">
        <v>19</v>
      </c>
      <c r="H571" s="1">
        <v>45299</v>
      </c>
      <c r="I571" s="1">
        <v>45444</v>
      </c>
      <c r="J571" t="s">
        <v>2733</v>
      </c>
      <c r="K571" t="s">
        <v>35</v>
      </c>
      <c r="L571" t="s">
        <v>36</v>
      </c>
      <c r="M571">
        <v>0.82</v>
      </c>
      <c r="N571" t="s">
        <v>2734</v>
      </c>
      <c r="O571" t="s">
        <v>2735</v>
      </c>
      <c r="P571" t="s">
        <v>2736</v>
      </c>
    </row>
    <row r="572" spans="1:16" x14ac:dyDescent="0.45">
      <c r="A572" t="s">
        <v>2737</v>
      </c>
      <c r="B572">
        <v>20</v>
      </c>
      <c r="C572" t="s">
        <v>48</v>
      </c>
      <c r="D572" t="s">
        <v>67</v>
      </c>
      <c r="E572">
        <v>3757.56</v>
      </c>
      <c r="F572">
        <v>9139.2199999999993</v>
      </c>
      <c r="G572" t="s">
        <v>104</v>
      </c>
      <c r="H572" s="1">
        <v>45422</v>
      </c>
      <c r="I572" s="1">
        <v>45559</v>
      </c>
      <c r="J572" t="s">
        <v>2738</v>
      </c>
      <c r="K572" t="s">
        <v>50</v>
      </c>
      <c r="L572" t="s">
        <v>36</v>
      </c>
      <c r="M572">
        <v>0.66</v>
      </c>
      <c r="N572" t="s">
        <v>2739</v>
      </c>
      <c r="O572" t="s">
        <v>2740</v>
      </c>
      <c r="P572" t="s">
        <v>2741</v>
      </c>
    </row>
    <row r="573" spans="1:16" x14ac:dyDescent="0.45">
      <c r="A573" t="s">
        <v>2742</v>
      </c>
      <c r="B573">
        <v>47</v>
      </c>
      <c r="C573" t="s">
        <v>40</v>
      </c>
      <c r="D573" t="s">
        <v>84</v>
      </c>
      <c r="E573">
        <v>3610.01</v>
      </c>
      <c r="F573">
        <v>10428.469999999999</v>
      </c>
      <c r="G573" t="s">
        <v>19</v>
      </c>
      <c r="H573" s="1">
        <v>45406</v>
      </c>
      <c r="I573" s="1">
        <v>45728</v>
      </c>
      <c r="J573" t="s">
        <v>2743</v>
      </c>
      <c r="K573" t="s">
        <v>28</v>
      </c>
      <c r="L573" t="s">
        <v>22</v>
      </c>
      <c r="M573">
        <v>0.3</v>
      </c>
      <c r="N573" t="s">
        <v>2744</v>
      </c>
      <c r="O573" t="s">
        <v>2745</v>
      </c>
      <c r="P573" t="s">
        <v>2746</v>
      </c>
    </row>
    <row r="574" spans="1:16" x14ac:dyDescent="0.45">
      <c r="A574" t="s">
        <v>2747</v>
      </c>
      <c r="B574">
        <v>38</v>
      </c>
      <c r="C574" t="s">
        <v>40</v>
      </c>
      <c r="D574" t="s">
        <v>84</v>
      </c>
      <c r="E574">
        <v>2595.85</v>
      </c>
      <c r="F574">
        <v>19146.490000000002</v>
      </c>
      <c r="G574" t="s">
        <v>104</v>
      </c>
      <c r="H574" s="1">
        <v>44878</v>
      </c>
      <c r="I574" s="1">
        <v>45681</v>
      </c>
      <c r="J574" t="s">
        <v>2748</v>
      </c>
      <c r="K574" t="s">
        <v>35</v>
      </c>
      <c r="L574" t="s">
        <v>22</v>
      </c>
      <c r="M574">
        <v>0.77</v>
      </c>
      <c r="N574" t="s">
        <v>2749</v>
      </c>
      <c r="O574" t="s">
        <v>2750</v>
      </c>
      <c r="P574" t="s">
        <v>2751</v>
      </c>
    </row>
    <row r="575" spans="1:16" x14ac:dyDescent="0.45">
      <c r="A575" t="s">
        <v>2752</v>
      </c>
      <c r="B575">
        <v>24</v>
      </c>
      <c r="C575" t="s">
        <v>17</v>
      </c>
      <c r="D575" t="s">
        <v>18</v>
      </c>
      <c r="E575">
        <v>1496.37</v>
      </c>
      <c r="F575">
        <v>2766.68</v>
      </c>
      <c r="G575" t="s">
        <v>19</v>
      </c>
      <c r="H575" s="1">
        <v>45058</v>
      </c>
      <c r="I575" s="1">
        <v>45144</v>
      </c>
      <c r="J575" t="s">
        <v>2753</v>
      </c>
      <c r="K575" t="s">
        <v>28</v>
      </c>
      <c r="L575" t="s">
        <v>22</v>
      </c>
      <c r="M575">
        <v>0.61</v>
      </c>
      <c r="N575" t="s">
        <v>2754</v>
      </c>
      <c r="O575" t="s">
        <v>2755</v>
      </c>
      <c r="P575" t="s">
        <v>2756</v>
      </c>
    </row>
    <row r="576" spans="1:16" x14ac:dyDescent="0.45">
      <c r="A576" t="s">
        <v>2757</v>
      </c>
      <c r="B576">
        <v>59</v>
      </c>
      <c r="C576" t="s">
        <v>26</v>
      </c>
      <c r="D576" t="s">
        <v>18</v>
      </c>
      <c r="E576">
        <v>4651.42</v>
      </c>
      <c r="F576">
        <v>19792.14</v>
      </c>
      <c r="G576" t="s">
        <v>104</v>
      </c>
      <c r="H576" s="1">
        <v>45430</v>
      </c>
      <c r="I576" s="1">
        <v>45737</v>
      </c>
      <c r="J576" t="s">
        <v>2758</v>
      </c>
      <c r="K576" t="s">
        <v>50</v>
      </c>
      <c r="L576" t="s">
        <v>22</v>
      </c>
      <c r="M576">
        <v>0.08</v>
      </c>
      <c r="N576" t="s">
        <v>2759</v>
      </c>
      <c r="O576" t="s">
        <v>2760</v>
      </c>
      <c r="P576" t="s">
        <v>2761</v>
      </c>
    </row>
    <row r="577" spans="1:16" x14ac:dyDescent="0.45">
      <c r="A577" t="s">
        <v>2762</v>
      </c>
      <c r="B577">
        <v>59</v>
      </c>
      <c r="C577" t="s">
        <v>83</v>
      </c>
      <c r="D577" t="s">
        <v>33</v>
      </c>
      <c r="E577">
        <v>4700.8900000000003</v>
      </c>
      <c r="F577">
        <v>12938.4</v>
      </c>
      <c r="G577" t="s">
        <v>19</v>
      </c>
      <c r="H577" s="1">
        <v>45089</v>
      </c>
      <c r="I577" s="1">
        <v>45245</v>
      </c>
      <c r="J577" t="s">
        <v>2763</v>
      </c>
      <c r="K577" t="s">
        <v>28</v>
      </c>
      <c r="L577" t="s">
        <v>43</v>
      </c>
      <c r="M577">
        <v>0.42</v>
      </c>
      <c r="N577" t="s">
        <v>2764</v>
      </c>
      <c r="O577" t="s">
        <v>2765</v>
      </c>
      <c r="P577" t="s">
        <v>2766</v>
      </c>
    </row>
    <row r="578" spans="1:16" x14ac:dyDescent="0.45">
      <c r="A578" t="s">
        <v>2767</v>
      </c>
      <c r="B578">
        <v>67</v>
      </c>
      <c r="C578" t="s">
        <v>26</v>
      </c>
      <c r="D578" t="s">
        <v>41</v>
      </c>
      <c r="E578">
        <v>884.96</v>
      </c>
      <c r="F578">
        <v>10631.15</v>
      </c>
      <c r="G578" t="s">
        <v>19</v>
      </c>
      <c r="H578" s="1">
        <v>45219</v>
      </c>
      <c r="I578" s="1">
        <v>45851</v>
      </c>
      <c r="J578" t="s">
        <v>2768</v>
      </c>
      <c r="K578" t="s">
        <v>35</v>
      </c>
      <c r="L578" t="s">
        <v>36</v>
      </c>
      <c r="M578">
        <v>0.31</v>
      </c>
      <c r="N578" t="s">
        <v>2769</v>
      </c>
      <c r="O578" t="s">
        <v>2770</v>
      </c>
      <c r="P578" t="s">
        <v>2771</v>
      </c>
    </row>
    <row r="579" spans="1:16" x14ac:dyDescent="0.45">
      <c r="A579" t="s">
        <v>2772</v>
      </c>
      <c r="B579">
        <v>39</v>
      </c>
      <c r="C579" t="s">
        <v>40</v>
      </c>
      <c r="D579" t="s">
        <v>84</v>
      </c>
      <c r="E579">
        <v>4167.66</v>
      </c>
      <c r="F579">
        <v>703.12</v>
      </c>
      <c r="G579" t="s">
        <v>85</v>
      </c>
      <c r="H579" s="1">
        <v>45362</v>
      </c>
      <c r="I579" s="1">
        <v>45482</v>
      </c>
      <c r="J579" t="s">
        <v>2773</v>
      </c>
      <c r="K579" t="s">
        <v>35</v>
      </c>
      <c r="L579" t="s">
        <v>36</v>
      </c>
      <c r="M579">
        <v>0.19</v>
      </c>
      <c r="N579" t="s">
        <v>2774</v>
      </c>
      <c r="O579" t="s">
        <v>2775</v>
      </c>
      <c r="P579" t="s">
        <v>2776</v>
      </c>
    </row>
    <row r="580" spans="1:16" x14ac:dyDescent="0.45">
      <c r="A580" t="s">
        <v>2777</v>
      </c>
      <c r="B580">
        <v>60</v>
      </c>
      <c r="C580" t="s">
        <v>32</v>
      </c>
      <c r="D580" t="s">
        <v>33</v>
      </c>
      <c r="E580">
        <v>415.68</v>
      </c>
      <c r="F580">
        <v>12637.51</v>
      </c>
      <c r="G580" t="s">
        <v>104</v>
      </c>
      <c r="H580" s="1">
        <v>45155</v>
      </c>
      <c r="I580" s="1">
        <v>45636</v>
      </c>
      <c r="J580" t="s">
        <v>2778</v>
      </c>
      <c r="K580" t="s">
        <v>35</v>
      </c>
      <c r="L580" t="s">
        <v>22</v>
      </c>
      <c r="M580">
        <v>0.26</v>
      </c>
      <c r="N580" t="s">
        <v>2779</v>
      </c>
      <c r="O580">
        <f>61-436-962-987</f>
        <v>-2324</v>
      </c>
      <c r="P580" t="s">
        <v>2780</v>
      </c>
    </row>
    <row r="581" spans="1:16" x14ac:dyDescent="0.45">
      <c r="A581" t="s">
        <v>2781</v>
      </c>
      <c r="B581">
        <v>41</v>
      </c>
      <c r="C581" t="s">
        <v>66</v>
      </c>
      <c r="D581" t="s">
        <v>84</v>
      </c>
      <c r="E581">
        <v>940.09</v>
      </c>
      <c r="F581">
        <v>17445.650000000001</v>
      </c>
      <c r="G581" t="s">
        <v>19</v>
      </c>
      <c r="H581" s="1">
        <v>44851</v>
      </c>
      <c r="I581" s="1">
        <v>44901</v>
      </c>
      <c r="J581" t="s">
        <v>2782</v>
      </c>
      <c r="K581" t="s">
        <v>35</v>
      </c>
      <c r="L581" t="s">
        <v>22</v>
      </c>
      <c r="M581">
        <v>0.56999999999999995</v>
      </c>
      <c r="N581" t="s">
        <v>2783</v>
      </c>
      <c r="O581" t="s">
        <v>2784</v>
      </c>
      <c r="P581" t="s">
        <v>2785</v>
      </c>
    </row>
    <row r="582" spans="1:16" x14ac:dyDescent="0.45">
      <c r="A582" t="s">
        <v>2786</v>
      </c>
      <c r="B582">
        <v>22</v>
      </c>
      <c r="C582" t="s">
        <v>48</v>
      </c>
      <c r="D582" t="s">
        <v>84</v>
      </c>
      <c r="E582">
        <v>1671.59</v>
      </c>
      <c r="F582">
        <v>9375.7199999999993</v>
      </c>
      <c r="G582" t="s">
        <v>19</v>
      </c>
      <c r="H582" s="1">
        <v>45166</v>
      </c>
      <c r="I582" s="1">
        <v>45293</v>
      </c>
      <c r="J582" t="s">
        <v>2787</v>
      </c>
      <c r="K582" t="s">
        <v>28</v>
      </c>
      <c r="L582" t="s">
        <v>36</v>
      </c>
      <c r="M582">
        <v>0.51</v>
      </c>
      <c r="N582" t="s">
        <v>2788</v>
      </c>
      <c r="O582">
        <f>61-446-160-133</f>
        <v>-678</v>
      </c>
      <c r="P582" t="s">
        <v>2789</v>
      </c>
    </row>
    <row r="583" spans="1:16" x14ac:dyDescent="0.45">
      <c r="A583" t="s">
        <v>2790</v>
      </c>
      <c r="B583">
        <v>52</v>
      </c>
      <c r="C583" t="s">
        <v>83</v>
      </c>
      <c r="D583" t="s">
        <v>41</v>
      </c>
      <c r="E583">
        <v>397.09</v>
      </c>
      <c r="F583">
        <v>18480.580000000002</v>
      </c>
      <c r="G583" t="s">
        <v>85</v>
      </c>
      <c r="H583" s="1">
        <v>45256</v>
      </c>
      <c r="I583" s="1">
        <v>45544</v>
      </c>
      <c r="J583" t="s">
        <v>2791</v>
      </c>
      <c r="K583" t="s">
        <v>28</v>
      </c>
      <c r="L583" t="s">
        <v>36</v>
      </c>
      <c r="M583">
        <v>0.55000000000000004</v>
      </c>
      <c r="N583" t="s">
        <v>2792</v>
      </c>
      <c r="O583" t="s">
        <v>2793</v>
      </c>
      <c r="P583" t="s">
        <v>2794</v>
      </c>
    </row>
    <row r="584" spans="1:16" x14ac:dyDescent="0.45">
      <c r="A584" t="s">
        <v>2795</v>
      </c>
      <c r="B584">
        <v>19</v>
      </c>
      <c r="C584" t="s">
        <v>32</v>
      </c>
      <c r="D584" t="s">
        <v>41</v>
      </c>
      <c r="E584">
        <v>1246.03</v>
      </c>
      <c r="F584">
        <v>9386.6299999999992</v>
      </c>
      <c r="G584" t="s">
        <v>19</v>
      </c>
      <c r="H584" s="1">
        <v>44777</v>
      </c>
      <c r="I584" s="1">
        <v>45498</v>
      </c>
      <c r="J584" t="s">
        <v>2796</v>
      </c>
      <c r="K584" t="s">
        <v>50</v>
      </c>
      <c r="L584" t="s">
        <v>43</v>
      </c>
      <c r="M584">
        <v>0.17</v>
      </c>
      <c r="N584" t="s">
        <v>2797</v>
      </c>
      <c r="O584" t="s">
        <v>2798</v>
      </c>
      <c r="P584" t="s">
        <v>2799</v>
      </c>
    </row>
    <row r="585" spans="1:16" x14ac:dyDescent="0.45">
      <c r="A585" t="s">
        <v>2800</v>
      </c>
      <c r="B585">
        <v>44</v>
      </c>
      <c r="C585" t="s">
        <v>55</v>
      </c>
      <c r="D585" t="s">
        <v>33</v>
      </c>
      <c r="E585">
        <v>1330.29</v>
      </c>
      <c r="F585">
        <v>18959.89</v>
      </c>
      <c r="G585" t="s">
        <v>85</v>
      </c>
      <c r="H585" s="1">
        <v>45339</v>
      </c>
      <c r="I585" s="1">
        <v>45794</v>
      </c>
      <c r="J585" t="s">
        <v>2801</v>
      </c>
      <c r="K585" t="s">
        <v>28</v>
      </c>
      <c r="L585" t="s">
        <v>36</v>
      </c>
      <c r="M585">
        <v>0.94</v>
      </c>
      <c r="N585" t="s">
        <v>2802</v>
      </c>
      <c r="O585" t="s">
        <v>2803</v>
      </c>
      <c r="P585" t="s">
        <v>2804</v>
      </c>
    </row>
    <row r="586" spans="1:16" x14ac:dyDescent="0.45">
      <c r="A586" t="s">
        <v>2805</v>
      </c>
      <c r="B586">
        <v>36</v>
      </c>
      <c r="C586" t="s">
        <v>26</v>
      </c>
      <c r="D586" t="s">
        <v>18</v>
      </c>
      <c r="E586">
        <v>515.12</v>
      </c>
      <c r="F586">
        <v>5180.7299999999996</v>
      </c>
      <c r="G586" t="s">
        <v>104</v>
      </c>
      <c r="H586" s="1">
        <v>45417</v>
      </c>
      <c r="I586" s="1">
        <v>45603</v>
      </c>
      <c r="J586" t="s">
        <v>2806</v>
      </c>
      <c r="K586" t="s">
        <v>28</v>
      </c>
      <c r="L586" t="s">
        <v>22</v>
      </c>
      <c r="M586">
        <v>0.77</v>
      </c>
      <c r="N586" t="s">
        <v>2807</v>
      </c>
      <c r="O586" t="s">
        <v>2808</v>
      </c>
      <c r="P586" t="s">
        <v>2809</v>
      </c>
    </row>
    <row r="587" spans="1:16" x14ac:dyDescent="0.45">
      <c r="A587" t="s">
        <v>2810</v>
      </c>
      <c r="B587">
        <v>32</v>
      </c>
      <c r="C587" t="s">
        <v>40</v>
      </c>
      <c r="D587" t="s">
        <v>67</v>
      </c>
      <c r="E587">
        <v>723.75</v>
      </c>
      <c r="F587">
        <v>2753.44</v>
      </c>
      <c r="G587" t="s">
        <v>19</v>
      </c>
      <c r="H587" s="1">
        <v>45258</v>
      </c>
      <c r="I587" s="1">
        <v>45281</v>
      </c>
      <c r="J587" t="s">
        <v>2811</v>
      </c>
      <c r="K587" t="s">
        <v>21</v>
      </c>
      <c r="L587" t="s">
        <v>22</v>
      </c>
      <c r="M587">
        <v>0.38</v>
      </c>
      <c r="N587" t="s">
        <v>2812</v>
      </c>
      <c r="O587" t="s">
        <v>2813</v>
      </c>
      <c r="P587" t="s">
        <v>2814</v>
      </c>
    </row>
    <row r="588" spans="1:16" x14ac:dyDescent="0.45">
      <c r="A588" t="s">
        <v>2623</v>
      </c>
      <c r="B588">
        <v>59</v>
      </c>
      <c r="C588" t="s">
        <v>66</v>
      </c>
      <c r="D588" t="s">
        <v>67</v>
      </c>
      <c r="E588">
        <v>866.86</v>
      </c>
      <c r="F588">
        <v>13858.95</v>
      </c>
      <c r="G588" t="s">
        <v>104</v>
      </c>
      <c r="H588" s="1">
        <v>44989</v>
      </c>
      <c r="I588" s="1">
        <v>45255</v>
      </c>
      <c r="J588" t="s">
        <v>2815</v>
      </c>
      <c r="K588" t="s">
        <v>28</v>
      </c>
      <c r="L588" t="s">
        <v>22</v>
      </c>
      <c r="M588">
        <v>0.16</v>
      </c>
      <c r="N588" t="s">
        <v>2816</v>
      </c>
      <c r="O588">
        <v>189.4093</v>
      </c>
      <c r="P588" t="s">
        <v>2817</v>
      </c>
    </row>
    <row r="589" spans="1:16" x14ac:dyDescent="0.45">
      <c r="A589" t="s">
        <v>2818</v>
      </c>
      <c r="B589">
        <v>52</v>
      </c>
      <c r="C589" t="s">
        <v>32</v>
      </c>
      <c r="D589" t="s">
        <v>67</v>
      </c>
      <c r="E589">
        <v>920.66</v>
      </c>
      <c r="F589">
        <v>10633.8</v>
      </c>
      <c r="G589" t="s">
        <v>19</v>
      </c>
      <c r="H589" s="1">
        <v>45295</v>
      </c>
      <c r="I589" s="1">
        <v>45742</v>
      </c>
      <c r="J589" t="s">
        <v>2819</v>
      </c>
      <c r="K589" t="s">
        <v>35</v>
      </c>
      <c r="L589" t="s">
        <v>43</v>
      </c>
      <c r="M589">
        <v>0.63</v>
      </c>
      <c r="N589" t="s">
        <v>2820</v>
      </c>
      <c r="O589" t="s">
        <v>2821</v>
      </c>
      <c r="P589" t="s">
        <v>2822</v>
      </c>
    </row>
    <row r="590" spans="1:16" x14ac:dyDescent="0.45">
      <c r="A590" t="s">
        <v>2823</v>
      </c>
      <c r="B590">
        <v>73</v>
      </c>
      <c r="C590" t="s">
        <v>66</v>
      </c>
      <c r="D590" t="s">
        <v>18</v>
      </c>
      <c r="E590">
        <v>353.19</v>
      </c>
      <c r="F590">
        <v>9552.9500000000007</v>
      </c>
      <c r="G590" t="s">
        <v>19</v>
      </c>
      <c r="H590" s="1">
        <v>44997</v>
      </c>
      <c r="I590" s="1">
        <v>45797</v>
      </c>
      <c r="J590" t="s">
        <v>2824</v>
      </c>
      <c r="K590" t="s">
        <v>28</v>
      </c>
      <c r="L590" t="s">
        <v>36</v>
      </c>
      <c r="M590">
        <v>0.56000000000000005</v>
      </c>
      <c r="N590" t="s">
        <v>2825</v>
      </c>
      <c r="O590">
        <v>57913713</v>
      </c>
      <c r="P590" t="s">
        <v>2826</v>
      </c>
    </row>
    <row r="591" spans="1:16" x14ac:dyDescent="0.45">
      <c r="A591" t="s">
        <v>2827</v>
      </c>
      <c r="B591">
        <v>28</v>
      </c>
      <c r="C591" t="s">
        <v>40</v>
      </c>
      <c r="D591" t="s">
        <v>33</v>
      </c>
      <c r="E591">
        <v>904.22</v>
      </c>
      <c r="F591">
        <v>1725.07</v>
      </c>
      <c r="G591" t="s">
        <v>85</v>
      </c>
      <c r="H591" s="1">
        <v>45400</v>
      </c>
      <c r="I591" s="1">
        <v>45762</v>
      </c>
      <c r="J591" t="s">
        <v>2828</v>
      </c>
      <c r="K591" t="s">
        <v>50</v>
      </c>
      <c r="L591" t="s">
        <v>22</v>
      </c>
      <c r="M591">
        <v>0.42</v>
      </c>
      <c r="N591" t="s">
        <v>2829</v>
      </c>
      <c r="O591" t="s">
        <v>2830</v>
      </c>
      <c r="P591" t="s">
        <v>2831</v>
      </c>
    </row>
    <row r="592" spans="1:16" x14ac:dyDescent="0.45">
      <c r="A592" t="s">
        <v>2832</v>
      </c>
      <c r="B592">
        <v>63</v>
      </c>
      <c r="C592" t="s">
        <v>83</v>
      </c>
      <c r="D592" t="s">
        <v>84</v>
      </c>
      <c r="E592">
        <v>2207.33</v>
      </c>
      <c r="F592">
        <v>13679.37</v>
      </c>
      <c r="G592" t="s">
        <v>104</v>
      </c>
      <c r="H592" s="1">
        <v>45085</v>
      </c>
      <c r="I592" s="1">
        <v>45140</v>
      </c>
      <c r="J592" t="s">
        <v>2833</v>
      </c>
      <c r="K592" t="s">
        <v>50</v>
      </c>
      <c r="L592" t="s">
        <v>36</v>
      </c>
      <c r="M592">
        <v>0.44</v>
      </c>
      <c r="N592" t="s">
        <v>2834</v>
      </c>
      <c r="O592" t="s">
        <v>2835</v>
      </c>
      <c r="P592" t="s">
        <v>2836</v>
      </c>
    </row>
    <row r="593" spans="1:16" x14ac:dyDescent="0.45">
      <c r="A593" t="s">
        <v>2837</v>
      </c>
      <c r="B593">
        <v>72</v>
      </c>
      <c r="C593" t="s">
        <v>48</v>
      </c>
      <c r="D593" t="s">
        <v>18</v>
      </c>
      <c r="E593">
        <v>4849.33</v>
      </c>
      <c r="F593">
        <v>16327.25</v>
      </c>
      <c r="G593" t="s">
        <v>19</v>
      </c>
      <c r="H593" s="1">
        <v>45146</v>
      </c>
      <c r="I593" s="1">
        <v>45787</v>
      </c>
      <c r="J593" t="s">
        <v>2838</v>
      </c>
      <c r="K593" t="s">
        <v>21</v>
      </c>
      <c r="L593" t="s">
        <v>22</v>
      </c>
      <c r="M593">
        <v>0.04</v>
      </c>
      <c r="N593" t="s">
        <v>2839</v>
      </c>
      <c r="O593" t="s">
        <v>2840</v>
      </c>
      <c r="P593" t="s">
        <v>2841</v>
      </c>
    </row>
    <row r="594" spans="1:16" x14ac:dyDescent="0.45">
      <c r="A594" t="s">
        <v>2842</v>
      </c>
      <c r="B594">
        <v>46</v>
      </c>
      <c r="C594" t="s">
        <v>17</v>
      </c>
      <c r="D594" t="s">
        <v>41</v>
      </c>
      <c r="E594">
        <v>1195.8599999999999</v>
      </c>
      <c r="F594">
        <v>15248.99</v>
      </c>
      <c r="G594" t="s">
        <v>85</v>
      </c>
      <c r="H594" s="1">
        <v>45168</v>
      </c>
      <c r="I594" s="1">
        <v>45328</v>
      </c>
      <c r="J594" t="s">
        <v>2843</v>
      </c>
      <c r="K594" t="s">
        <v>21</v>
      </c>
      <c r="L594" t="s">
        <v>43</v>
      </c>
      <c r="M594">
        <v>0.44</v>
      </c>
      <c r="N594" t="s">
        <v>2844</v>
      </c>
      <c r="O594" t="s">
        <v>2845</v>
      </c>
      <c r="P594" t="s">
        <v>2846</v>
      </c>
    </row>
    <row r="595" spans="1:16" x14ac:dyDescent="0.45">
      <c r="A595" t="s">
        <v>2847</v>
      </c>
      <c r="B595">
        <v>68</v>
      </c>
      <c r="C595" t="s">
        <v>55</v>
      </c>
      <c r="D595" t="s">
        <v>67</v>
      </c>
      <c r="E595">
        <v>4500.3100000000004</v>
      </c>
      <c r="F595">
        <v>12261.96</v>
      </c>
      <c r="G595" t="s">
        <v>104</v>
      </c>
      <c r="H595" s="1">
        <v>44861</v>
      </c>
      <c r="I595" s="1">
        <v>44977</v>
      </c>
      <c r="J595" t="s">
        <v>2848</v>
      </c>
      <c r="K595" t="s">
        <v>28</v>
      </c>
      <c r="L595" t="s">
        <v>22</v>
      </c>
      <c r="M595">
        <v>0.82</v>
      </c>
      <c r="N595" t="s">
        <v>2849</v>
      </c>
      <c r="O595" t="s">
        <v>2850</v>
      </c>
      <c r="P595" t="s">
        <v>2851</v>
      </c>
    </row>
    <row r="596" spans="1:16" x14ac:dyDescent="0.45">
      <c r="A596" t="s">
        <v>2161</v>
      </c>
      <c r="B596">
        <v>51</v>
      </c>
      <c r="C596" t="s">
        <v>48</v>
      </c>
      <c r="D596" t="s">
        <v>33</v>
      </c>
      <c r="E596">
        <v>1486.48</v>
      </c>
      <c r="F596">
        <v>930.03</v>
      </c>
      <c r="G596" t="s">
        <v>19</v>
      </c>
      <c r="H596" s="1">
        <v>45289</v>
      </c>
      <c r="I596" s="1">
        <v>45321</v>
      </c>
      <c r="J596" t="s">
        <v>2852</v>
      </c>
      <c r="K596" t="s">
        <v>21</v>
      </c>
      <c r="L596" t="s">
        <v>36</v>
      </c>
      <c r="M596">
        <v>0.05</v>
      </c>
      <c r="N596" t="s">
        <v>2853</v>
      </c>
      <c r="O596" t="s">
        <v>2854</v>
      </c>
      <c r="P596" t="s">
        <v>2855</v>
      </c>
    </row>
    <row r="597" spans="1:16" x14ac:dyDescent="0.45">
      <c r="A597" t="s">
        <v>2856</v>
      </c>
      <c r="B597">
        <v>55</v>
      </c>
      <c r="C597" t="s">
        <v>83</v>
      </c>
      <c r="D597" t="s">
        <v>84</v>
      </c>
      <c r="E597">
        <v>4541.12</v>
      </c>
      <c r="F597">
        <v>1825.84</v>
      </c>
      <c r="G597" t="s">
        <v>85</v>
      </c>
      <c r="H597" s="1">
        <v>45203</v>
      </c>
      <c r="I597" s="1">
        <v>45394</v>
      </c>
      <c r="J597" t="s">
        <v>2857</v>
      </c>
      <c r="K597" t="s">
        <v>35</v>
      </c>
      <c r="L597" t="s">
        <v>36</v>
      </c>
      <c r="M597">
        <v>0.4</v>
      </c>
      <c r="N597" t="s">
        <v>2858</v>
      </c>
      <c r="O597" t="s">
        <v>2859</v>
      </c>
      <c r="P597" t="s">
        <v>2860</v>
      </c>
    </row>
    <row r="598" spans="1:16" x14ac:dyDescent="0.45">
      <c r="A598" t="s">
        <v>2861</v>
      </c>
      <c r="B598">
        <v>22</v>
      </c>
      <c r="C598" t="s">
        <v>55</v>
      </c>
      <c r="D598" t="s">
        <v>67</v>
      </c>
      <c r="E598">
        <v>4355.33</v>
      </c>
      <c r="F598">
        <v>12773.75</v>
      </c>
      <c r="G598" t="s">
        <v>19</v>
      </c>
      <c r="H598" s="1">
        <v>44885</v>
      </c>
      <c r="I598" s="1">
        <v>44900</v>
      </c>
      <c r="J598" t="s">
        <v>2862</v>
      </c>
      <c r="K598" t="s">
        <v>50</v>
      </c>
      <c r="L598" t="s">
        <v>22</v>
      </c>
      <c r="M598">
        <v>0.7</v>
      </c>
      <c r="N598" t="s">
        <v>2863</v>
      </c>
      <c r="O598" t="s">
        <v>2864</v>
      </c>
      <c r="P598" t="s">
        <v>2865</v>
      </c>
    </row>
    <row r="599" spans="1:16" x14ac:dyDescent="0.45">
      <c r="A599" t="s">
        <v>2866</v>
      </c>
      <c r="B599">
        <v>56</v>
      </c>
      <c r="C599" t="s">
        <v>40</v>
      </c>
      <c r="D599" t="s">
        <v>18</v>
      </c>
      <c r="E599">
        <v>4715.46</v>
      </c>
      <c r="F599">
        <v>19638.22</v>
      </c>
      <c r="G599" t="s">
        <v>85</v>
      </c>
      <c r="H599" s="1">
        <v>45009</v>
      </c>
      <c r="I599" s="1">
        <v>45129</v>
      </c>
      <c r="J599" t="s">
        <v>2867</v>
      </c>
      <c r="K599" t="s">
        <v>35</v>
      </c>
      <c r="L599" t="s">
        <v>36</v>
      </c>
      <c r="M599">
        <v>0.8</v>
      </c>
      <c r="N599" t="s">
        <v>2868</v>
      </c>
      <c r="O599">
        <v>90794756</v>
      </c>
      <c r="P599" t="s">
        <v>2869</v>
      </c>
    </row>
    <row r="600" spans="1:16" x14ac:dyDescent="0.45">
      <c r="A600" t="s">
        <v>2870</v>
      </c>
      <c r="B600">
        <v>61</v>
      </c>
      <c r="C600" t="s">
        <v>26</v>
      </c>
      <c r="D600" t="s">
        <v>84</v>
      </c>
      <c r="E600">
        <v>4666.6400000000003</v>
      </c>
      <c r="F600">
        <v>11211.69</v>
      </c>
      <c r="G600" t="s">
        <v>85</v>
      </c>
      <c r="H600" s="1">
        <v>44861</v>
      </c>
      <c r="I600" s="1">
        <v>44925</v>
      </c>
      <c r="J600" t="s">
        <v>2871</v>
      </c>
      <c r="K600" t="s">
        <v>21</v>
      </c>
      <c r="L600" t="s">
        <v>22</v>
      </c>
      <c r="M600">
        <v>0.91</v>
      </c>
      <c r="N600" t="s">
        <v>2872</v>
      </c>
      <c r="O600" t="s">
        <v>2873</v>
      </c>
      <c r="P600" t="s">
        <v>2874</v>
      </c>
    </row>
    <row r="601" spans="1:16" x14ac:dyDescent="0.45">
      <c r="A601" t="s">
        <v>2875</v>
      </c>
      <c r="B601">
        <v>66</v>
      </c>
      <c r="C601" t="s">
        <v>83</v>
      </c>
      <c r="D601" t="s">
        <v>41</v>
      </c>
      <c r="E601">
        <v>1199.74</v>
      </c>
      <c r="F601">
        <v>1256</v>
      </c>
      <c r="G601" t="s">
        <v>19</v>
      </c>
      <c r="H601" s="1">
        <v>45114</v>
      </c>
      <c r="I601" s="1">
        <v>45781</v>
      </c>
      <c r="J601" t="s">
        <v>2876</v>
      </c>
      <c r="K601" t="s">
        <v>28</v>
      </c>
      <c r="L601" t="s">
        <v>36</v>
      </c>
      <c r="M601">
        <v>0.13</v>
      </c>
      <c r="N601" t="s">
        <v>2877</v>
      </c>
      <c r="O601" t="s">
        <v>2878</v>
      </c>
      <c r="P601" t="s">
        <v>2879</v>
      </c>
    </row>
    <row r="602" spans="1:16" x14ac:dyDescent="0.45">
      <c r="A602" t="s">
        <v>2880</v>
      </c>
      <c r="B602">
        <v>63</v>
      </c>
      <c r="C602" t="s">
        <v>32</v>
      </c>
      <c r="D602" t="s">
        <v>67</v>
      </c>
      <c r="E602">
        <v>2590.0500000000002</v>
      </c>
      <c r="F602">
        <v>15853.42</v>
      </c>
      <c r="G602" t="s">
        <v>19</v>
      </c>
      <c r="H602" s="1">
        <v>45275</v>
      </c>
      <c r="I602" s="1">
        <v>45601</v>
      </c>
      <c r="J602" t="s">
        <v>2881</v>
      </c>
      <c r="K602" t="s">
        <v>50</v>
      </c>
      <c r="L602" t="s">
        <v>22</v>
      </c>
      <c r="M602">
        <v>0.74</v>
      </c>
      <c r="N602" t="s">
        <v>2882</v>
      </c>
      <c r="O602">
        <f>61-2-7565-1350</f>
        <v>-8856</v>
      </c>
      <c r="P602" t="s">
        <v>2883</v>
      </c>
    </row>
    <row r="603" spans="1:16" x14ac:dyDescent="0.45">
      <c r="A603" t="s">
        <v>2884</v>
      </c>
      <c r="B603">
        <v>18</v>
      </c>
      <c r="C603" t="s">
        <v>17</v>
      </c>
      <c r="D603" t="s">
        <v>18</v>
      </c>
      <c r="E603">
        <v>626.27</v>
      </c>
      <c r="F603">
        <v>626.24</v>
      </c>
      <c r="G603" t="s">
        <v>104</v>
      </c>
      <c r="H603" s="1">
        <v>44790</v>
      </c>
      <c r="I603" s="1">
        <v>44911</v>
      </c>
      <c r="J603" t="s">
        <v>2885</v>
      </c>
      <c r="K603" t="s">
        <v>35</v>
      </c>
      <c r="L603" t="s">
        <v>22</v>
      </c>
      <c r="M603">
        <v>0.41</v>
      </c>
      <c r="N603" t="s">
        <v>2886</v>
      </c>
      <c r="O603" t="s">
        <v>2887</v>
      </c>
      <c r="P603" t="s">
        <v>2888</v>
      </c>
    </row>
    <row r="604" spans="1:16" x14ac:dyDescent="0.45">
      <c r="A604" t="s">
        <v>2889</v>
      </c>
      <c r="B604">
        <v>53</v>
      </c>
      <c r="C604" t="s">
        <v>26</v>
      </c>
      <c r="D604" t="s">
        <v>33</v>
      </c>
      <c r="E604">
        <v>3662.12</v>
      </c>
      <c r="F604">
        <v>374.65</v>
      </c>
      <c r="G604" t="s">
        <v>85</v>
      </c>
      <c r="H604" s="1">
        <v>45502</v>
      </c>
      <c r="I604" s="1">
        <v>45626</v>
      </c>
      <c r="J604" t="s">
        <v>2890</v>
      </c>
      <c r="K604" t="s">
        <v>21</v>
      </c>
      <c r="L604" t="s">
        <v>22</v>
      </c>
      <c r="M604">
        <v>1</v>
      </c>
      <c r="N604" t="s">
        <v>2891</v>
      </c>
      <c r="O604" t="s">
        <v>2892</v>
      </c>
      <c r="P604" t="s">
        <v>2893</v>
      </c>
    </row>
    <row r="605" spans="1:16" x14ac:dyDescent="0.45">
      <c r="A605" t="s">
        <v>2894</v>
      </c>
      <c r="B605">
        <v>64</v>
      </c>
      <c r="C605" t="s">
        <v>55</v>
      </c>
      <c r="D605" t="s">
        <v>41</v>
      </c>
      <c r="E605">
        <v>4481.8900000000003</v>
      </c>
      <c r="F605">
        <v>6505.74</v>
      </c>
      <c r="G605" t="s">
        <v>19</v>
      </c>
      <c r="H605" s="1">
        <v>45245</v>
      </c>
      <c r="I605" s="1">
        <v>45297</v>
      </c>
      <c r="J605" t="s">
        <v>2895</v>
      </c>
      <c r="K605" t="s">
        <v>50</v>
      </c>
      <c r="L605" t="s">
        <v>43</v>
      </c>
      <c r="M605">
        <v>0.83</v>
      </c>
      <c r="N605" t="s">
        <v>2896</v>
      </c>
      <c r="O605" t="s">
        <v>2897</v>
      </c>
      <c r="P605" t="s">
        <v>2898</v>
      </c>
    </row>
    <row r="606" spans="1:16" x14ac:dyDescent="0.45">
      <c r="A606" t="s">
        <v>2899</v>
      </c>
      <c r="B606">
        <v>27</v>
      </c>
      <c r="C606" t="s">
        <v>66</v>
      </c>
      <c r="D606" t="s">
        <v>67</v>
      </c>
      <c r="E606">
        <v>4096.9799999999996</v>
      </c>
      <c r="F606">
        <v>17541.09</v>
      </c>
      <c r="G606" t="s">
        <v>19</v>
      </c>
      <c r="H606" s="1">
        <v>45268</v>
      </c>
      <c r="I606" s="1">
        <v>45555</v>
      </c>
      <c r="J606" t="s">
        <v>2900</v>
      </c>
      <c r="K606" t="s">
        <v>50</v>
      </c>
      <c r="L606" t="s">
        <v>22</v>
      </c>
      <c r="M606">
        <v>0.93</v>
      </c>
      <c r="N606" t="s">
        <v>1830</v>
      </c>
      <c r="O606" t="s">
        <v>2901</v>
      </c>
      <c r="P606" t="s">
        <v>2902</v>
      </c>
    </row>
    <row r="607" spans="1:16" x14ac:dyDescent="0.45">
      <c r="A607" t="s">
        <v>2903</v>
      </c>
      <c r="B607">
        <v>66</v>
      </c>
      <c r="C607" t="s">
        <v>32</v>
      </c>
      <c r="D607" t="s">
        <v>18</v>
      </c>
      <c r="E607">
        <v>1234.0899999999999</v>
      </c>
      <c r="F607">
        <v>19361.09</v>
      </c>
      <c r="G607" t="s">
        <v>85</v>
      </c>
      <c r="H607" s="1">
        <v>45044</v>
      </c>
      <c r="I607" s="1">
        <v>45424</v>
      </c>
      <c r="J607" t="s">
        <v>2904</v>
      </c>
      <c r="K607" t="s">
        <v>21</v>
      </c>
      <c r="L607" t="s">
        <v>43</v>
      </c>
      <c r="M607">
        <v>0.04</v>
      </c>
      <c r="N607" t="s">
        <v>2905</v>
      </c>
      <c r="O607">
        <v>818471209</v>
      </c>
      <c r="P607" t="s">
        <v>2906</v>
      </c>
    </row>
    <row r="608" spans="1:16" x14ac:dyDescent="0.45">
      <c r="A608" t="s">
        <v>2907</v>
      </c>
      <c r="B608">
        <v>41</v>
      </c>
      <c r="C608" t="s">
        <v>83</v>
      </c>
      <c r="D608" t="s">
        <v>18</v>
      </c>
      <c r="E608">
        <v>3879.84</v>
      </c>
      <c r="F608">
        <v>9329.11</v>
      </c>
      <c r="G608" t="s">
        <v>19</v>
      </c>
      <c r="H608" s="1">
        <v>44945</v>
      </c>
      <c r="I608" s="1">
        <v>45202</v>
      </c>
      <c r="J608" t="s">
        <v>2908</v>
      </c>
      <c r="K608" t="s">
        <v>21</v>
      </c>
      <c r="L608" t="s">
        <v>22</v>
      </c>
      <c r="M608">
        <v>0.32</v>
      </c>
      <c r="N608" t="s">
        <v>2909</v>
      </c>
      <c r="O608" t="s">
        <v>2910</v>
      </c>
      <c r="P608" t="s">
        <v>2911</v>
      </c>
    </row>
    <row r="609" spans="1:16" x14ac:dyDescent="0.45">
      <c r="A609" t="s">
        <v>2912</v>
      </c>
      <c r="B609">
        <v>48</v>
      </c>
      <c r="C609" t="s">
        <v>55</v>
      </c>
      <c r="D609" t="s">
        <v>18</v>
      </c>
      <c r="E609">
        <v>3935.83</v>
      </c>
      <c r="F609">
        <v>13204.73</v>
      </c>
      <c r="G609" t="s">
        <v>104</v>
      </c>
      <c r="H609" s="1">
        <v>44890</v>
      </c>
      <c r="I609" s="1">
        <v>45807</v>
      </c>
      <c r="J609" t="s">
        <v>2913</v>
      </c>
      <c r="K609" t="s">
        <v>28</v>
      </c>
      <c r="L609" t="s">
        <v>22</v>
      </c>
      <c r="M609">
        <v>0.6</v>
      </c>
      <c r="N609" t="s">
        <v>2914</v>
      </c>
      <c r="O609" t="s">
        <v>2915</v>
      </c>
      <c r="P609" t="s">
        <v>2916</v>
      </c>
    </row>
    <row r="610" spans="1:16" x14ac:dyDescent="0.45">
      <c r="A610" t="s">
        <v>2917</v>
      </c>
      <c r="B610">
        <v>44</v>
      </c>
      <c r="C610" t="s">
        <v>32</v>
      </c>
      <c r="D610" t="s">
        <v>18</v>
      </c>
      <c r="E610">
        <v>969.77</v>
      </c>
      <c r="F610">
        <v>11161.44</v>
      </c>
      <c r="G610" t="s">
        <v>19</v>
      </c>
      <c r="H610" s="1">
        <v>44829</v>
      </c>
      <c r="I610" s="1">
        <v>45521</v>
      </c>
      <c r="J610" t="s">
        <v>2918</v>
      </c>
      <c r="K610" t="s">
        <v>28</v>
      </c>
      <c r="L610" t="s">
        <v>22</v>
      </c>
      <c r="M610">
        <v>0.4</v>
      </c>
      <c r="N610" t="s">
        <v>2919</v>
      </c>
      <c r="O610" t="s">
        <v>2920</v>
      </c>
      <c r="P610" t="s">
        <v>2921</v>
      </c>
    </row>
    <row r="611" spans="1:16" x14ac:dyDescent="0.45">
      <c r="A611" t="s">
        <v>2922</v>
      </c>
      <c r="B611">
        <v>48</v>
      </c>
      <c r="C611" t="s">
        <v>32</v>
      </c>
      <c r="D611" t="s">
        <v>33</v>
      </c>
      <c r="E611">
        <v>2340.83</v>
      </c>
      <c r="F611">
        <v>8256.98</v>
      </c>
      <c r="G611" t="s">
        <v>19</v>
      </c>
      <c r="H611" s="1">
        <v>45079</v>
      </c>
      <c r="I611" s="1">
        <v>45630</v>
      </c>
      <c r="J611" t="s">
        <v>2923</v>
      </c>
      <c r="K611" t="s">
        <v>21</v>
      </c>
      <c r="L611" t="s">
        <v>22</v>
      </c>
      <c r="M611">
        <v>0.86</v>
      </c>
      <c r="N611" t="s">
        <v>2924</v>
      </c>
      <c r="O611" t="s">
        <v>2925</v>
      </c>
      <c r="P611" t="s">
        <v>2926</v>
      </c>
    </row>
    <row r="612" spans="1:16" x14ac:dyDescent="0.45">
      <c r="A612" t="s">
        <v>2927</v>
      </c>
      <c r="B612">
        <v>67</v>
      </c>
      <c r="C612" t="s">
        <v>40</v>
      </c>
      <c r="D612" t="s">
        <v>33</v>
      </c>
      <c r="E612">
        <v>1393.58</v>
      </c>
      <c r="F612">
        <v>13366.65</v>
      </c>
      <c r="G612" t="s">
        <v>19</v>
      </c>
      <c r="H612" s="1">
        <v>45088</v>
      </c>
      <c r="I612" s="1">
        <v>45285</v>
      </c>
      <c r="J612" t="s">
        <v>2928</v>
      </c>
      <c r="K612" t="s">
        <v>21</v>
      </c>
      <c r="L612" t="s">
        <v>22</v>
      </c>
      <c r="M612">
        <v>0.87</v>
      </c>
      <c r="N612" t="s">
        <v>2929</v>
      </c>
      <c r="O612" t="s">
        <v>2930</v>
      </c>
      <c r="P612" t="s">
        <v>2931</v>
      </c>
    </row>
    <row r="613" spans="1:16" x14ac:dyDescent="0.45">
      <c r="A613" t="s">
        <v>2932</v>
      </c>
      <c r="B613">
        <v>67</v>
      </c>
      <c r="C613" t="s">
        <v>66</v>
      </c>
      <c r="D613" t="s">
        <v>33</v>
      </c>
      <c r="E613">
        <v>1444.57</v>
      </c>
      <c r="F613">
        <v>14022.13</v>
      </c>
      <c r="G613" t="s">
        <v>85</v>
      </c>
      <c r="H613" s="1">
        <v>45256</v>
      </c>
      <c r="I613" s="1">
        <v>45426</v>
      </c>
      <c r="J613" t="s">
        <v>2933</v>
      </c>
      <c r="K613" t="s">
        <v>21</v>
      </c>
      <c r="L613" t="s">
        <v>22</v>
      </c>
      <c r="M613">
        <v>0.27</v>
      </c>
      <c r="N613" t="s">
        <v>2934</v>
      </c>
      <c r="O613" t="s">
        <v>2935</v>
      </c>
      <c r="P613" t="s">
        <v>2936</v>
      </c>
    </row>
    <row r="614" spans="1:16" x14ac:dyDescent="0.45">
      <c r="A614" t="s">
        <v>2937</v>
      </c>
      <c r="B614">
        <v>60</v>
      </c>
      <c r="C614" t="s">
        <v>32</v>
      </c>
      <c r="D614" t="s">
        <v>41</v>
      </c>
      <c r="E614">
        <v>2596.38</v>
      </c>
      <c r="F614">
        <v>15331.28</v>
      </c>
      <c r="G614" t="s">
        <v>19</v>
      </c>
      <c r="H614" s="1">
        <v>45322</v>
      </c>
      <c r="I614" s="1">
        <v>45801</v>
      </c>
      <c r="J614" t="s">
        <v>2938</v>
      </c>
      <c r="K614" t="s">
        <v>50</v>
      </c>
      <c r="L614" t="s">
        <v>22</v>
      </c>
      <c r="M614">
        <v>0.05</v>
      </c>
      <c r="N614" t="s">
        <v>2939</v>
      </c>
      <c r="O614">
        <v>102.221</v>
      </c>
      <c r="P614" t="s">
        <v>2940</v>
      </c>
    </row>
    <row r="615" spans="1:16" x14ac:dyDescent="0.45">
      <c r="A615" t="s">
        <v>2941</v>
      </c>
      <c r="B615">
        <v>31</v>
      </c>
      <c r="C615" t="s">
        <v>40</v>
      </c>
      <c r="D615" t="s">
        <v>18</v>
      </c>
      <c r="E615">
        <v>518.12</v>
      </c>
      <c r="F615">
        <v>7124.79</v>
      </c>
      <c r="G615" t="s">
        <v>19</v>
      </c>
      <c r="H615" s="1">
        <v>44808</v>
      </c>
      <c r="I615" s="1">
        <v>45095</v>
      </c>
      <c r="J615" t="s">
        <v>2942</v>
      </c>
      <c r="K615" t="s">
        <v>21</v>
      </c>
      <c r="L615" t="s">
        <v>43</v>
      </c>
      <c r="M615">
        <v>0.06</v>
      </c>
      <c r="N615" t="s">
        <v>2943</v>
      </c>
      <c r="O615">
        <v>91796286</v>
      </c>
      <c r="P615" t="s">
        <v>2944</v>
      </c>
    </row>
    <row r="616" spans="1:16" x14ac:dyDescent="0.45">
      <c r="A616" t="s">
        <v>2945</v>
      </c>
      <c r="B616">
        <v>54</v>
      </c>
      <c r="C616" t="s">
        <v>48</v>
      </c>
      <c r="D616" t="s">
        <v>33</v>
      </c>
      <c r="E616">
        <v>2219.8000000000002</v>
      </c>
      <c r="F616">
        <v>2223.6</v>
      </c>
      <c r="G616" t="s">
        <v>85</v>
      </c>
      <c r="H616" s="1">
        <v>45071</v>
      </c>
      <c r="I616" s="1">
        <v>45409</v>
      </c>
      <c r="J616" t="s">
        <v>2946</v>
      </c>
      <c r="K616" t="s">
        <v>35</v>
      </c>
      <c r="L616" t="s">
        <v>22</v>
      </c>
      <c r="M616">
        <v>0.27</v>
      </c>
      <c r="N616" t="s">
        <v>2947</v>
      </c>
      <c r="O616" t="s">
        <v>2948</v>
      </c>
      <c r="P616" t="s">
        <v>2949</v>
      </c>
    </row>
    <row r="617" spans="1:16" x14ac:dyDescent="0.45">
      <c r="A617" t="s">
        <v>2950</v>
      </c>
      <c r="B617">
        <v>42</v>
      </c>
      <c r="C617" t="s">
        <v>55</v>
      </c>
      <c r="D617" t="s">
        <v>41</v>
      </c>
      <c r="E617">
        <v>2401.15</v>
      </c>
      <c r="F617">
        <v>10708.56</v>
      </c>
      <c r="G617" t="s">
        <v>19</v>
      </c>
      <c r="H617" s="1">
        <v>44865</v>
      </c>
      <c r="I617" s="1">
        <v>45338</v>
      </c>
      <c r="J617" t="s">
        <v>2951</v>
      </c>
      <c r="K617" t="s">
        <v>50</v>
      </c>
      <c r="L617" t="s">
        <v>43</v>
      </c>
      <c r="M617">
        <v>0.59</v>
      </c>
      <c r="N617" t="s">
        <v>2952</v>
      </c>
      <c r="O617" t="s">
        <v>2953</v>
      </c>
      <c r="P617" t="s">
        <v>2954</v>
      </c>
    </row>
    <row r="618" spans="1:16" x14ac:dyDescent="0.45">
      <c r="A618" t="s">
        <v>2955</v>
      </c>
      <c r="B618">
        <v>53</v>
      </c>
      <c r="C618" t="s">
        <v>66</v>
      </c>
      <c r="D618" t="s">
        <v>18</v>
      </c>
      <c r="E618">
        <v>1218.23</v>
      </c>
      <c r="F618">
        <v>14743.14</v>
      </c>
      <c r="G618" t="s">
        <v>85</v>
      </c>
      <c r="H618" s="1">
        <v>45057</v>
      </c>
      <c r="I618" s="1">
        <v>45401</v>
      </c>
      <c r="J618" t="s">
        <v>2956</v>
      </c>
      <c r="K618" t="s">
        <v>35</v>
      </c>
      <c r="L618" t="s">
        <v>43</v>
      </c>
      <c r="M618">
        <v>0.55000000000000004</v>
      </c>
      <c r="N618" t="s">
        <v>2957</v>
      </c>
      <c r="O618" t="s">
        <v>2958</v>
      </c>
      <c r="P618" t="s">
        <v>2959</v>
      </c>
    </row>
    <row r="619" spans="1:16" x14ac:dyDescent="0.45">
      <c r="A619" t="s">
        <v>2960</v>
      </c>
      <c r="B619">
        <v>63</v>
      </c>
      <c r="C619" t="s">
        <v>26</v>
      </c>
      <c r="D619" t="s">
        <v>41</v>
      </c>
      <c r="E619">
        <v>4769.24</v>
      </c>
      <c r="F619">
        <v>10459.040000000001</v>
      </c>
      <c r="G619" t="s">
        <v>19</v>
      </c>
      <c r="H619" s="1">
        <v>44878</v>
      </c>
      <c r="I619" s="1">
        <v>45465</v>
      </c>
      <c r="J619" t="s">
        <v>2961</v>
      </c>
      <c r="K619" t="s">
        <v>35</v>
      </c>
      <c r="L619" t="s">
        <v>43</v>
      </c>
      <c r="M619">
        <v>0.22</v>
      </c>
      <c r="N619" t="s">
        <v>2962</v>
      </c>
      <c r="O619" t="s">
        <v>2963</v>
      </c>
      <c r="P619" t="s">
        <v>2964</v>
      </c>
    </row>
    <row r="620" spans="1:16" x14ac:dyDescent="0.45">
      <c r="A620" t="s">
        <v>2965</v>
      </c>
      <c r="B620">
        <v>35</v>
      </c>
      <c r="C620" t="s">
        <v>32</v>
      </c>
      <c r="D620" t="s">
        <v>84</v>
      </c>
      <c r="E620">
        <v>4395.04</v>
      </c>
      <c r="F620">
        <v>19852.900000000001</v>
      </c>
      <c r="G620" t="s">
        <v>19</v>
      </c>
      <c r="H620" s="1">
        <v>45102</v>
      </c>
      <c r="I620" s="1">
        <v>45431</v>
      </c>
      <c r="J620" t="s">
        <v>2966</v>
      </c>
      <c r="K620" t="s">
        <v>28</v>
      </c>
      <c r="L620" t="s">
        <v>22</v>
      </c>
      <c r="M620">
        <v>0.56999999999999995</v>
      </c>
      <c r="N620" t="s">
        <v>2967</v>
      </c>
      <c r="O620" t="s">
        <v>2968</v>
      </c>
      <c r="P620" t="s">
        <v>2969</v>
      </c>
    </row>
    <row r="621" spans="1:16" x14ac:dyDescent="0.45">
      <c r="A621" t="s">
        <v>2970</v>
      </c>
      <c r="B621">
        <v>73</v>
      </c>
      <c r="C621" t="s">
        <v>40</v>
      </c>
      <c r="D621" t="s">
        <v>18</v>
      </c>
      <c r="E621">
        <v>1218.18</v>
      </c>
      <c r="F621">
        <v>10310.52</v>
      </c>
      <c r="G621" t="s">
        <v>19</v>
      </c>
      <c r="H621" s="1">
        <v>44972</v>
      </c>
      <c r="I621" s="1">
        <v>45648</v>
      </c>
      <c r="J621" t="s">
        <v>2971</v>
      </c>
      <c r="K621" t="s">
        <v>50</v>
      </c>
      <c r="L621" t="s">
        <v>22</v>
      </c>
      <c r="M621">
        <v>0.1</v>
      </c>
      <c r="N621" t="s">
        <v>2972</v>
      </c>
      <c r="O621" t="s">
        <v>2973</v>
      </c>
      <c r="P621" t="s">
        <v>2974</v>
      </c>
    </row>
    <row r="622" spans="1:16" x14ac:dyDescent="0.45">
      <c r="A622" t="s">
        <v>2975</v>
      </c>
      <c r="B622">
        <v>47</v>
      </c>
      <c r="C622" t="s">
        <v>26</v>
      </c>
      <c r="D622" t="s">
        <v>67</v>
      </c>
      <c r="E622">
        <v>4169.82</v>
      </c>
      <c r="F622">
        <v>1880.08</v>
      </c>
      <c r="G622" t="s">
        <v>19</v>
      </c>
      <c r="H622" s="1">
        <v>44778</v>
      </c>
      <c r="I622" s="1">
        <v>45535</v>
      </c>
      <c r="J622" t="s">
        <v>2976</v>
      </c>
      <c r="K622" t="s">
        <v>50</v>
      </c>
      <c r="L622" t="s">
        <v>22</v>
      </c>
      <c r="M622">
        <v>0.25</v>
      </c>
      <c r="N622" t="s">
        <v>2977</v>
      </c>
      <c r="O622" t="s">
        <v>2978</v>
      </c>
      <c r="P622" t="s">
        <v>2979</v>
      </c>
    </row>
    <row r="623" spans="1:16" x14ac:dyDescent="0.45">
      <c r="A623" t="s">
        <v>2980</v>
      </c>
      <c r="B623">
        <v>62</v>
      </c>
      <c r="C623" t="s">
        <v>83</v>
      </c>
      <c r="D623" t="s">
        <v>33</v>
      </c>
      <c r="E623">
        <v>2323.1</v>
      </c>
      <c r="F623">
        <v>3776.5</v>
      </c>
      <c r="G623" t="s">
        <v>104</v>
      </c>
      <c r="H623" s="1">
        <v>45255</v>
      </c>
      <c r="I623" s="1">
        <v>45574</v>
      </c>
      <c r="J623" t="s">
        <v>2981</v>
      </c>
      <c r="K623" t="s">
        <v>28</v>
      </c>
      <c r="L623" t="s">
        <v>36</v>
      </c>
      <c r="M623">
        <v>0.05</v>
      </c>
      <c r="N623" t="s">
        <v>2982</v>
      </c>
      <c r="O623" t="s">
        <v>2983</v>
      </c>
      <c r="P623" t="s">
        <v>2984</v>
      </c>
    </row>
    <row r="624" spans="1:16" x14ac:dyDescent="0.45">
      <c r="A624" t="s">
        <v>2985</v>
      </c>
      <c r="B624">
        <v>59</v>
      </c>
      <c r="C624" t="s">
        <v>55</v>
      </c>
      <c r="D624" t="s">
        <v>84</v>
      </c>
      <c r="E624">
        <v>3145.6</v>
      </c>
      <c r="F624">
        <v>10092</v>
      </c>
      <c r="G624" t="s">
        <v>19</v>
      </c>
      <c r="H624" s="1">
        <v>45387</v>
      </c>
      <c r="I624" s="1">
        <v>45565</v>
      </c>
      <c r="J624" t="s">
        <v>2986</v>
      </c>
      <c r="K624" t="s">
        <v>28</v>
      </c>
      <c r="L624" t="s">
        <v>36</v>
      </c>
      <c r="M624">
        <v>0.44</v>
      </c>
      <c r="N624" t="s">
        <v>2987</v>
      </c>
      <c r="O624" t="s">
        <v>2988</v>
      </c>
      <c r="P624" t="s">
        <v>2989</v>
      </c>
    </row>
    <row r="625" spans="1:16" x14ac:dyDescent="0.45">
      <c r="A625" t="s">
        <v>2990</v>
      </c>
      <c r="B625">
        <v>43</v>
      </c>
      <c r="C625" t="s">
        <v>32</v>
      </c>
      <c r="D625" t="s">
        <v>33</v>
      </c>
      <c r="E625">
        <v>1046.06</v>
      </c>
      <c r="F625">
        <v>3333.17</v>
      </c>
      <c r="G625" t="s">
        <v>19</v>
      </c>
      <c r="H625" s="1">
        <v>45040</v>
      </c>
      <c r="I625" s="1">
        <v>45557</v>
      </c>
      <c r="J625" t="s">
        <v>2991</v>
      </c>
      <c r="K625" t="s">
        <v>35</v>
      </c>
      <c r="L625" t="s">
        <v>43</v>
      </c>
      <c r="M625">
        <v>0.24</v>
      </c>
      <c r="N625" t="s">
        <v>2992</v>
      </c>
      <c r="O625" t="s">
        <v>2993</v>
      </c>
      <c r="P625" t="s">
        <v>2994</v>
      </c>
    </row>
    <row r="626" spans="1:16" x14ac:dyDescent="0.45">
      <c r="A626" t="s">
        <v>2995</v>
      </c>
      <c r="B626">
        <v>31</v>
      </c>
      <c r="C626" t="s">
        <v>55</v>
      </c>
      <c r="D626" t="s">
        <v>67</v>
      </c>
      <c r="E626">
        <v>3834.62</v>
      </c>
      <c r="F626">
        <v>17057.55</v>
      </c>
      <c r="G626" t="s">
        <v>19</v>
      </c>
      <c r="H626" s="1">
        <v>45203</v>
      </c>
      <c r="I626" s="1">
        <v>45670</v>
      </c>
      <c r="J626" t="s">
        <v>2996</v>
      </c>
      <c r="K626" t="s">
        <v>50</v>
      </c>
      <c r="L626" t="s">
        <v>22</v>
      </c>
      <c r="M626">
        <v>0.34</v>
      </c>
      <c r="N626" t="s">
        <v>2997</v>
      </c>
      <c r="O626" t="s">
        <v>2998</v>
      </c>
      <c r="P626" t="s">
        <v>1890</v>
      </c>
    </row>
    <row r="627" spans="1:16" x14ac:dyDescent="0.45">
      <c r="A627" t="s">
        <v>2999</v>
      </c>
      <c r="B627">
        <v>20</v>
      </c>
      <c r="C627" t="s">
        <v>32</v>
      </c>
      <c r="D627" t="s">
        <v>41</v>
      </c>
      <c r="E627">
        <v>2043.64</v>
      </c>
      <c r="F627">
        <v>6131.77</v>
      </c>
      <c r="G627" t="s">
        <v>19</v>
      </c>
      <c r="H627" s="1">
        <v>45270</v>
      </c>
      <c r="I627" s="1">
        <v>45738</v>
      </c>
      <c r="J627" t="s">
        <v>3000</v>
      </c>
      <c r="K627" t="s">
        <v>21</v>
      </c>
      <c r="L627" t="s">
        <v>36</v>
      </c>
      <c r="M627">
        <v>0.22</v>
      </c>
      <c r="N627" t="s">
        <v>3001</v>
      </c>
      <c r="O627" t="s">
        <v>3002</v>
      </c>
      <c r="P627" t="s">
        <v>3003</v>
      </c>
    </row>
    <row r="628" spans="1:16" x14ac:dyDescent="0.45">
      <c r="A628" t="s">
        <v>3004</v>
      </c>
      <c r="B628">
        <v>20</v>
      </c>
      <c r="C628" t="s">
        <v>32</v>
      </c>
      <c r="D628" t="s">
        <v>33</v>
      </c>
      <c r="E628">
        <v>3646.02</v>
      </c>
      <c r="F628">
        <v>275.47000000000003</v>
      </c>
      <c r="G628" t="s">
        <v>19</v>
      </c>
      <c r="H628" s="1">
        <v>45181</v>
      </c>
      <c r="I628" s="1">
        <v>45571</v>
      </c>
      <c r="J628" t="s">
        <v>3005</v>
      </c>
      <c r="K628" t="s">
        <v>28</v>
      </c>
      <c r="L628" t="s">
        <v>43</v>
      </c>
      <c r="M628">
        <v>0.26</v>
      </c>
      <c r="N628" t="s">
        <v>3006</v>
      </c>
      <c r="O628" t="s">
        <v>3007</v>
      </c>
      <c r="P628" t="s">
        <v>3008</v>
      </c>
    </row>
    <row r="629" spans="1:16" x14ac:dyDescent="0.45">
      <c r="A629" t="s">
        <v>3009</v>
      </c>
      <c r="B629">
        <v>28</v>
      </c>
      <c r="C629" t="s">
        <v>55</v>
      </c>
      <c r="D629" t="s">
        <v>41</v>
      </c>
      <c r="E629">
        <v>3362.41</v>
      </c>
      <c r="F629">
        <v>3545.08</v>
      </c>
      <c r="G629" t="s">
        <v>19</v>
      </c>
      <c r="H629" s="1">
        <v>45267</v>
      </c>
      <c r="I629" s="1">
        <v>45638</v>
      </c>
      <c r="J629" t="s">
        <v>3010</v>
      </c>
      <c r="K629" t="s">
        <v>28</v>
      </c>
      <c r="L629" t="s">
        <v>22</v>
      </c>
      <c r="M629">
        <v>0.97</v>
      </c>
      <c r="N629" t="s">
        <v>3011</v>
      </c>
      <c r="O629" t="s">
        <v>3012</v>
      </c>
      <c r="P629" t="s">
        <v>3013</v>
      </c>
    </row>
    <row r="630" spans="1:16" x14ac:dyDescent="0.45">
      <c r="A630" t="s">
        <v>3014</v>
      </c>
      <c r="B630">
        <v>60</v>
      </c>
      <c r="C630" t="s">
        <v>17</v>
      </c>
      <c r="D630" t="s">
        <v>41</v>
      </c>
      <c r="E630">
        <v>4000.78</v>
      </c>
      <c r="F630">
        <v>1975.36</v>
      </c>
      <c r="G630" t="s">
        <v>19</v>
      </c>
      <c r="H630" s="1">
        <v>45243</v>
      </c>
      <c r="I630" s="1">
        <v>45813</v>
      </c>
      <c r="J630" t="s">
        <v>3015</v>
      </c>
      <c r="K630" t="s">
        <v>35</v>
      </c>
      <c r="L630" t="s">
        <v>22</v>
      </c>
      <c r="M630">
        <v>0.42</v>
      </c>
      <c r="N630" t="s">
        <v>3016</v>
      </c>
      <c r="O630" t="s">
        <v>3017</v>
      </c>
      <c r="P630" t="s">
        <v>3018</v>
      </c>
    </row>
    <row r="631" spans="1:16" x14ac:dyDescent="0.45">
      <c r="A631" t="s">
        <v>3019</v>
      </c>
      <c r="B631">
        <v>75</v>
      </c>
      <c r="C631" t="s">
        <v>26</v>
      </c>
      <c r="D631" t="s">
        <v>67</v>
      </c>
      <c r="E631">
        <v>4937.75</v>
      </c>
      <c r="F631">
        <v>11160.26</v>
      </c>
      <c r="G631" t="s">
        <v>19</v>
      </c>
      <c r="H631" s="1">
        <v>44866</v>
      </c>
      <c r="I631" s="1">
        <v>45360</v>
      </c>
      <c r="J631" t="s">
        <v>3020</v>
      </c>
      <c r="K631" t="s">
        <v>21</v>
      </c>
      <c r="L631" t="s">
        <v>22</v>
      </c>
      <c r="M631">
        <v>0.38</v>
      </c>
      <c r="N631" t="s">
        <v>3021</v>
      </c>
      <c r="O631">
        <v>4349130</v>
      </c>
      <c r="P631" t="s">
        <v>3022</v>
      </c>
    </row>
    <row r="632" spans="1:16" x14ac:dyDescent="0.45">
      <c r="A632" t="s">
        <v>3023</v>
      </c>
      <c r="B632">
        <v>31</v>
      </c>
      <c r="C632" t="s">
        <v>17</v>
      </c>
      <c r="D632" t="s">
        <v>84</v>
      </c>
      <c r="E632">
        <v>552.19000000000005</v>
      </c>
      <c r="F632">
        <v>13577.16</v>
      </c>
      <c r="G632" t="s">
        <v>19</v>
      </c>
      <c r="H632" s="1">
        <v>45088</v>
      </c>
      <c r="I632" s="1">
        <v>45414</v>
      </c>
      <c r="J632" t="s">
        <v>3024</v>
      </c>
      <c r="K632" t="s">
        <v>35</v>
      </c>
      <c r="L632" t="s">
        <v>36</v>
      </c>
      <c r="M632">
        <v>0.71</v>
      </c>
      <c r="N632" t="s">
        <v>3025</v>
      </c>
      <c r="O632">
        <v>7518.2668000000003</v>
      </c>
      <c r="P632" t="s">
        <v>3026</v>
      </c>
    </row>
    <row r="633" spans="1:16" x14ac:dyDescent="0.45">
      <c r="A633" t="s">
        <v>3027</v>
      </c>
      <c r="B633">
        <v>58</v>
      </c>
      <c r="C633" t="s">
        <v>17</v>
      </c>
      <c r="D633" t="s">
        <v>41</v>
      </c>
      <c r="E633">
        <v>586.49</v>
      </c>
      <c r="F633">
        <v>17854.82</v>
      </c>
      <c r="G633" t="s">
        <v>19</v>
      </c>
      <c r="H633" s="1">
        <v>44928</v>
      </c>
      <c r="I633" s="1">
        <v>45106</v>
      </c>
      <c r="J633" t="s">
        <v>3028</v>
      </c>
      <c r="K633" t="s">
        <v>28</v>
      </c>
      <c r="L633" t="s">
        <v>22</v>
      </c>
      <c r="M633">
        <v>0.94</v>
      </c>
      <c r="N633" t="s">
        <v>3029</v>
      </c>
      <c r="O633">
        <v>9343.8739000000005</v>
      </c>
      <c r="P633" t="s">
        <v>627</v>
      </c>
    </row>
    <row r="634" spans="1:16" x14ac:dyDescent="0.45">
      <c r="A634" t="s">
        <v>3030</v>
      </c>
      <c r="B634">
        <v>27</v>
      </c>
      <c r="C634" t="s">
        <v>40</v>
      </c>
      <c r="D634" t="s">
        <v>67</v>
      </c>
      <c r="E634">
        <v>4122.1000000000004</v>
      </c>
      <c r="F634">
        <v>19581.91</v>
      </c>
      <c r="G634" t="s">
        <v>19</v>
      </c>
      <c r="H634" s="1">
        <v>44961</v>
      </c>
      <c r="I634" s="1">
        <v>45594</v>
      </c>
      <c r="J634" t="s">
        <v>3031</v>
      </c>
      <c r="K634" t="s">
        <v>35</v>
      </c>
      <c r="L634" t="s">
        <v>22</v>
      </c>
      <c r="M634">
        <v>0.7</v>
      </c>
      <c r="N634" t="s">
        <v>3032</v>
      </c>
      <c r="O634">
        <v>9387.2828000000009</v>
      </c>
      <c r="P634" t="s">
        <v>3033</v>
      </c>
    </row>
    <row r="635" spans="1:16" x14ac:dyDescent="0.45">
      <c r="A635" t="s">
        <v>3034</v>
      </c>
      <c r="B635">
        <v>38</v>
      </c>
      <c r="C635" t="s">
        <v>17</v>
      </c>
      <c r="D635" t="s">
        <v>18</v>
      </c>
      <c r="E635">
        <v>2272.1999999999998</v>
      </c>
      <c r="F635">
        <v>10559.32</v>
      </c>
      <c r="G635" t="s">
        <v>104</v>
      </c>
      <c r="H635" s="1">
        <v>45234</v>
      </c>
      <c r="I635" s="1">
        <v>45275</v>
      </c>
      <c r="J635" t="s">
        <v>3035</v>
      </c>
      <c r="K635" t="s">
        <v>28</v>
      </c>
      <c r="L635" t="s">
        <v>36</v>
      </c>
      <c r="M635">
        <v>0.36</v>
      </c>
      <c r="N635" t="s">
        <v>3036</v>
      </c>
      <c r="O635">
        <v>828595060</v>
      </c>
      <c r="P635" t="s">
        <v>3037</v>
      </c>
    </row>
    <row r="636" spans="1:16" x14ac:dyDescent="0.45">
      <c r="A636" t="s">
        <v>3038</v>
      </c>
      <c r="B636">
        <v>29</v>
      </c>
      <c r="C636" t="s">
        <v>48</v>
      </c>
      <c r="D636" t="s">
        <v>67</v>
      </c>
      <c r="E636">
        <v>3907.6</v>
      </c>
      <c r="F636">
        <v>7019.49</v>
      </c>
      <c r="G636" t="s">
        <v>19</v>
      </c>
      <c r="H636" s="1">
        <v>45271</v>
      </c>
      <c r="I636" s="1">
        <v>45325</v>
      </c>
      <c r="J636" t="s">
        <v>3039</v>
      </c>
      <c r="K636" t="s">
        <v>21</v>
      </c>
      <c r="L636" t="s">
        <v>36</v>
      </c>
      <c r="M636">
        <v>0.78</v>
      </c>
      <c r="N636" t="s">
        <v>3040</v>
      </c>
      <c r="O636" t="s">
        <v>3041</v>
      </c>
      <c r="P636" t="s">
        <v>3042</v>
      </c>
    </row>
    <row r="637" spans="1:16" x14ac:dyDescent="0.45">
      <c r="A637" t="s">
        <v>3043</v>
      </c>
      <c r="B637">
        <v>44</v>
      </c>
      <c r="C637" t="s">
        <v>83</v>
      </c>
      <c r="D637" t="s">
        <v>18</v>
      </c>
      <c r="E637">
        <v>4820.99</v>
      </c>
      <c r="F637">
        <v>9375.7900000000009</v>
      </c>
      <c r="G637" t="s">
        <v>85</v>
      </c>
      <c r="H637" s="1">
        <v>45417</v>
      </c>
      <c r="I637" s="1">
        <v>45708</v>
      </c>
      <c r="J637" t="s">
        <v>3044</v>
      </c>
      <c r="K637" t="s">
        <v>21</v>
      </c>
      <c r="L637" t="s">
        <v>43</v>
      </c>
      <c r="M637">
        <v>0.72</v>
      </c>
      <c r="N637" t="s">
        <v>3045</v>
      </c>
      <c r="O637" t="s">
        <v>3046</v>
      </c>
      <c r="P637" t="s">
        <v>3047</v>
      </c>
    </row>
    <row r="638" spans="1:16" x14ac:dyDescent="0.45">
      <c r="A638" t="s">
        <v>3048</v>
      </c>
      <c r="B638">
        <v>56</v>
      </c>
      <c r="C638" t="s">
        <v>26</v>
      </c>
      <c r="D638" t="s">
        <v>67</v>
      </c>
      <c r="E638">
        <v>3096.1</v>
      </c>
      <c r="F638">
        <v>4495.51</v>
      </c>
      <c r="G638" t="s">
        <v>19</v>
      </c>
      <c r="H638" s="1">
        <v>45403</v>
      </c>
      <c r="I638" s="1">
        <v>45770</v>
      </c>
      <c r="J638" t="s">
        <v>3049</v>
      </c>
      <c r="K638" t="s">
        <v>28</v>
      </c>
      <c r="L638" t="s">
        <v>43</v>
      </c>
      <c r="M638">
        <v>0.32</v>
      </c>
      <c r="N638" t="s">
        <v>3050</v>
      </c>
      <c r="O638">
        <v>61782108338</v>
      </c>
      <c r="P638" t="s">
        <v>3051</v>
      </c>
    </row>
    <row r="639" spans="1:16" x14ac:dyDescent="0.45">
      <c r="A639" t="s">
        <v>3052</v>
      </c>
      <c r="B639">
        <v>31</v>
      </c>
      <c r="C639" t="s">
        <v>32</v>
      </c>
      <c r="D639" t="s">
        <v>41</v>
      </c>
      <c r="E639">
        <v>4534.03</v>
      </c>
      <c r="F639">
        <v>12631.21</v>
      </c>
      <c r="G639" t="s">
        <v>19</v>
      </c>
      <c r="H639" s="1">
        <v>45237</v>
      </c>
      <c r="I639" s="1">
        <v>45722</v>
      </c>
      <c r="J639" t="s">
        <v>3053</v>
      </c>
      <c r="K639" t="s">
        <v>50</v>
      </c>
      <c r="L639" t="s">
        <v>36</v>
      </c>
      <c r="M639">
        <v>0.95</v>
      </c>
      <c r="N639" t="s">
        <v>3054</v>
      </c>
      <c r="O639" t="s">
        <v>3055</v>
      </c>
      <c r="P639" t="s">
        <v>3056</v>
      </c>
    </row>
    <row r="640" spans="1:16" x14ac:dyDescent="0.45">
      <c r="A640" t="s">
        <v>3057</v>
      </c>
      <c r="B640">
        <v>35</v>
      </c>
      <c r="C640" t="s">
        <v>40</v>
      </c>
      <c r="D640" t="s">
        <v>84</v>
      </c>
      <c r="E640">
        <v>3790.16</v>
      </c>
      <c r="F640">
        <v>4704.1000000000004</v>
      </c>
      <c r="G640" t="s">
        <v>85</v>
      </c>
      <c r="H640" s="1">
        <v>45460</v>
      </c>
      <c r="I640" s="1">
        <v>45698</v>
      </c>
      <c r="J640" t="s">
        <v>3058</v>
      </c>
      <c r="K640" t="s">
        <v>21</v>
      </c>
      <c r="L640" t="s">
        <v>22</v>
      </c>
      <c r="M640">
        <v>0.16</v>
      </c>
      <c r="N640" t="s">
        <v>3059</v>
      </c>
      <c r="O640">
        <v>254136593</v>
      </c>
      <c r="P640" t="s">
        <v>3060</v>
      </c>
    </row>
    <row r="641" spans="1:16" x14ac:dyDescent="0.45">
      <c r="A641" t="s">
        <v>3061</v>
      </c>
      <c r="B641">
        <v>21</v>
      </c>
      <c r="C641" t="s">
        <v>32</v>
      </c>
      <c r="D641" t="s">
        <v>33</v>
      </c>
      <c r="E641">
        <v>2545.2199999999998</v>
      </c>
      <c r="F641">
        <v>18468.560000000001</v>
      </c>
      <c r="G641" t="s">
        <v>19</v>
      </c>
      <c r="H641" s="1">
        <v>45125</v>
      </c>
      <c r="I641" s="1">
        <v>45174</v>
      </c>
      <c r="J641" t="s">
        <v>3062</v>
      </c>
      <c r="K641" t="s">
        <v>35</v>
      </c>
      <c r="L641" t="s">
        <v>22</v>
      </c>
      <c r="M641">
        <v>0.5</v>
      </c>
      <c r="N641" t="s">
        <v>3063</v>
      </c>
      <c r="O641" t="s">
        <v>3064</v>
      </c>
      <c r="P641" t="s">
        <v>3065</v>
      </c>
    </row>
    <row r="642" spans="1:16" x14ac:dyDescent="0.45">
      <c r="A642" t="s">
        <v>3066</v>
      </c>
      <c r="B642">
        <v>74</v>
      </c>
      <c r="C642" t="s">
        <v>66</v>
      </c>
      <c r="D642" t="s">
        <v>33</v>
      </c>
      <c r="E642">
        <v>832.81</v>
      </c>
      <c r="F642">
        <v>18336.66</v>
      </c>
      <c r="G642" t="s">
        <v>104</v>
      </c>
      <c r="H642" s="1">
        <v>44835</v>
      </c>
      <c r="I642" s="1">
        <v>44975</v>
      </c>
      <c r="J642" t="s">
        <v>3067</v>
      </c>
      <c r="K642" t="s">
        <v>50</v>
      </c>
      <c r="L642" t="s">
        <v>22</v>
      </c>
      <c r="M642">
        <v>0.83</v>
      </c>
      <c r="N642" t="s">
        <v>3068</v>
      </c>
      <c r="O642" t="s">
        <v>3069</v>
      </c>
      <c r="P642" t="s">
        <v>3070</v>
      </c>
    </row>
    <row r="643" spans="1:16" x14ac:dyDescent="0.45">
      <c r="A643" t="s">
        <v>3071</v>
      </c>
      <c r="B643">
        <v>60</v>
      </c>
      <c r="C643" t="s">
        <v>83</v>
      </c>
      <c r="D643" t="s">
        <v>18</v>
      </c>
      <c r="E643">
        <v>2437.6</v>
      </c>
      <c r="F643">
        <v>8766.58</v>
      </c>
      <c r="G643" t="s">
        <v>85</v>
      </c>
      <c r="H643" s="1">
        <v>44976</v>
      </c>
      <c r="I643" s="1">
        <v>45404</v>
      </c>
      <c r="J643" t="s">
        <v>3072</v>
      </c>
      <c r="K643" t="s">
        <v>21</v>
      </c>
      <c r="L643" t="s">
        <v>22</v>
      </c>
      <c r="M643">
        <v>0.09</v>
      </c>
      <c r="N643" t="s">
        <v>3073</v>
      </c>
      <c r="O643" t="s">
        <v>3074</v>
      </c>
      <c r="P643" t="s">
        <v>3075</v>
      </c>
    </row>
    <row r="644" spans="1:16" x14ac:dyDescent="0.45">
      <c r="A644" t="s">
        <v>3076</v>
      </c>
      <c r="B644">
        <v>18</v>
      </c>
      <c r="C644" t="s">
        <v>55</v>
      </c>
      <c r="D644" t="s">
        <v>33</v>
      </c>
      <c r="E644">
        <v>4278.16</v>
      </c>
      <c r="F644">
        <v>108.46</v>
      </c>
      <c r="G644" t="s">
        <v>104</v>
      </c>
      <c r="H644" s="1">
        <v>44952</v>
      </c>
      <c r="I644" s="1">
        <v>45590</v>
      </c>
      <c r="J644" t="s">
        <v>3077</v>
      </c>
      <c r="K644" t="s">
        <v>35</v>
      </c>
      <c r="L644" t="s">
        <v>43</v>
      </c>
      <c r="M644">
        <v>0.56999999999999995</v>
      </c>
      <c r="N644" t="s">
        <v>3078</v>
      </c>
      <c r="O644">
        <f>61-433-429-882</f>
        <v>-1683</v>
      </c>
      <c r="P644" t="s">
        <v>3079</v>
      </c>
    </row>
    <row r="645" spans="1:16" x14ac:dyDescent="0.45">
      <c r="A645" t="s">
        <v>3080</v>
      </c>
      <c r="B645">
        <v>31</v>
      </c>
      <c r="C645" t="s">
        <v>66</v>
      </c>
      <c r="D645" t="s">
        <v>18</v>
      </c>
      <c r="E645">
        <v>534.74</v>
      </c>
      <c r="F645">
        <v>18533.71</v>
      </c>
      <c r="G645" t="s">
        <v>19</v>
      </c>
      <c r="H645" s="1">
        <v>45300</v>
      </c>
      <c r="I645" s="1">
        <v>45767</v>
      </c>
      <c r="J645" t="s">
        <v>3081</v>
      </c>
      <c r="K645" t="s">
        <v>35</v>
      </c>
      <c r="L645" t="s">
        <v>43</v>
      </c>
      <c r="M645">
        <v>0.03</v>
      </c>
      <c r="N645" t="s">
        <v>3082</v>
      </c>
      <c r="O645" t="s">
        <v>3083</v>
      </c>
      <c r="P645" t="s">
        <v>3084</v>
      </c>
    </row>
    <row r="646" spans="1:16" x14ac:dyDescent="0.45">
      <c r="A646" t="s">
        <v>3085</v>
      </c>
      <c r="B646">
        <v>36</v>
      </c>
      <c r="C646" t="s">
        <v>55</v>
      </c>
      <c r="D646" t="s">
        <v>84</v>
      </c>
      <c r="E646">
        <v>2754.66</v>
      </c>
      <c r="F646">
        <v>11508.36</v>
      </c>
      <c r="G646" t="s">
        <v>104</v>
      </c>
      <c r="H646" s="1">
        <v>45123</v>
      </c>
      <c r="I646" s="1">
        <v>45634</v>
      </c>
      <c r="J646" t="s">
        <v>3086</v>
      </c>
      <c r="K646" t="s">
        <v>21</v>
      </c>
      <c r="L646" t="s">
        <v>36</v>
      </c>
      <c r="M646">
        <v>0.75</v>
      </c>
      <c r="N646" t="s">
        <v>3087</v>
      </c>
      <c r="O646" t="s">
        <v>3088</v>
      </c>
      <c r="P646" t="s">
        <v>3089</v>
      </c>
    </row>
    <row r="647" spans="1:16" x14ac:dyDescent="0.45">
      <c r="A647" t="s">
        <v>3090</v>
      </c>
      <c r="B647">
        <v>45</v>
      </c>
      <c r="C647" t="s">
        <v>26</v>
      </c>
      <c r="D647" t="s">
        <v>33</v>
      </c>
      <c r="E647">
        <v>4768.5600000000004</v>
      </c>
      <c r="F647">
        <v>7063.97</v>
      </c>
      <c r="G647" t="s">
        <v>19</v>
      </c>
      <c r="H647" s="1">
        <v>45465</v>
      </c>
      <c r="I647" s="1">
        <v>45807</v>
      </c>
      <c r="J647" t="s">
        <v>3091</v>
      </c>
      <c r="K647" t="s">
        <v>21</v>
      </c>
      <c r="L647" t="s">
        <v>43</v>
      </c>
      <c r="M647">
        <v>0.65</v>
      </c>
      <c r="N647" t="s">
        <v>3092</v>
      </c>
      <c r="O647" t="s">
        <v>3093</v>
      </c>
      <c r="P647" t="s">
        <v>3094</v>
      </c>
    </row>
    <row r="648" spans="1:16" x14ac:dyDescent="0.45">
      <c r="A648" t="s">
        <v>3095</v>
      </c>
      <c r="B648">
        <v>68</v>
      </c>
      <c r="C648" t="s">
        <v>26</v>
      </c>
      <c r="D648" t="s">
        <v>67</v>
      </c>
      <c r="E648">
        <v>1712.22</v>
      </c>
      <c r="F648">
        <v>19342.62</v>
      </c>
      <c r="G648" t="s">
        <v>85</v>
      </c>
      <c r="H648" s="1">
        <v>45465</v>
      </c>
      <c r="I648" s="1">
        <v>45584</v>
      </c>
      <c r="J648" t="s">
        <v>3096</v>
      </c>
      <c r="K648" t="s">
        <v>50</v>
      </c>
      <c r="L648" t="s">
        <v>43</v>
      </c>
      <c r="M648">
        <v>0.17</v>
      </c>
      <c r="N648" t="s">
        <v>3097</v>
      </c>
      <c r="O648" t="s">
        <v>3098</v>
      </c>
      <c r="P648" t="s">
        <v>3099</v>
      </c>
    </row>
    <row r="649" spans="1:16" x14ac:dyDescent="0.45">
      <c r="A649" t="s">
        <v>3100</v>
      </c>
      <c r="B649">
        <v>59</v>
      </c>
      <c r="C649" t="s">
        <v>32</v>
      </c>
      <c r="D649" t="s">
        <v>41</v>
      </c>
      <c r="E649">
        <v>759.17</v>
      </c>
      <c r="F649">
        <v>5492.07</v>
      </c>
      <c r="G649" t="s">
        <v>19</v>
      </c>
      <c r="H649" s="1">
        <v>45125</v>
      </c>
      <c r="I649" s="1">
        <v>45367</v>
      </c>
      <c r="J649" t="s">
        <v>3101</v>
      </c>
      <c r="K649" t="s">
        <v>50</v>
      </c>
      <c r="L649" t="s">
        <v>36</v>
      </c>
      <c r="M649">
        <v>0.28999999999999998</v>
      </c>
      <c r="N649" t="s">
        <v>3102</v>
      </c>
      <c r="O649" t="s">
        <v>3103</v>
      </c>
      <c r="P649" t="s">
        <v>3104</v>
      </c>
    </row>
    <row r="650" spans="1:16" x14ac:dyDescent="0.45">
      <c r="A650" t="s">
        <v>3105</v>
      </c>
      <c r="B650">
        <v>57</v>
      </c>
      <c r="C650" t="s">
        <v>83</v>
      </c>
      <c r="D650" t="s">
        <v>41</v>
      </c>
      <c r="E650">
        <v>2945.82</v>
      </c>
      <c r="F650">
        <v>1830.88</v>
      </c>
      <c r="G650" t="s">
        <v>19</v>
      </c>
      <c r="H650" s="1">
        <v>44988</v>
      </c>
      <c r="I650" s="1">
        <v>45234</v>
      </c>
      <c r="J650" t="s">
        <v>3106</v>
      </c>
      <c r="K650" t="s">
        <v>28</v>
      </c>
      <c r="L650" t="s">
        <v>22</v>
      </c>
      <c r="M650">
        <v>0.89</v>
      </c>
      <c r="N650" t="s">
        <v>3107</v>
      </c>
      <c r="O650" t="s">
        <v>3108</v>
      </c>
      <c r="P650" t="s">
        <v>3109</v>
      </c>
    </row>
    <row r="651" spans="1:16" x14ac:dyDescent="0.45">
      <c r="A651" t="s">
        <v>1622</v>
      </c>
      <c r="B651">
        <v>51</v>
      </c>
      <c r="C651" t="s">
        <v>48</v>
      </c>
      <c r="D651" t="s">
        <v>18</v>
      </c>
      <c r="E651">
        <v>3499.88</v>
      </c>
      <c r="F651">
        <v>675.25</v>
      </c>
      <c r="G651" t="s">
        <v>19</v>
      </c>
      <c r="H651" s="1">
        <v>44783</v>
      </c>
      <c r="I651" s="1">
        <v>45749</v>
      </c>
      <c r="J651" t="s">
        <v>3110</v>
      </c>
      <c r="K651" t="s">
        <v>21</v>
      </c>
      <c r="L651" t="s">
        <v>43</v>
      </c>
      <c r="M651">
        <v>0.6</v>
      </c>
      <c r="N651" t="s">
        <v>3111</v>
      </c>
      <c r="O651">
        <f>61-7-5466-6763</f>
        <v>-12175</v>
      </c>
      <c r="P651" t="s">
        <v>3112</v>
      </c>
    </row>
    <row r="652" spans="1:16" x14ac:dyDescent="0.45">
      <c r="A652" t="s">
        <v>3113</v>
      </c>
      <c r="B652">
        <v>51</v>
      </c>
      <c r="C652" t="s">
        <v>17</v>
      </c>
      <c r="D652" t="s">
        <v>41</v>
      </c>
      <c r="E652">
        <v>471.27</v>
      </c>
      <c r="F652">
        <v>11772.43</v>
      </c>
      <c r="G652" t="s">
        <v>19</v>
      </c>
      <c r="H652" s="1">
        <v>45007</v>
      </c>
      <c r="I652" s="1">
        <v>45325</v>
      </c>
      <c r="J652" t="s">
        <v>3114</v>
      </c>
      <c r="K652" t="s">
        <v>28</v>
      </c>
      <c r="L652" t="s">
        <v>22</v>
      </c>
      <c r="M652">
        <v>0.1</v>
      </c>
      <c r="N652" t="s">
        <v>3115</v>
      </c>
      <c r="O652" t="s">
        <v>3116</v>
      </c>
      <c r="P652" t="s">
        <v>3117</v>
      </c>
    </row>
    <row r="653" spans="1:16" x14ac:dyDescent="0.45">
      <c r="A653" t="s">
        <v>3118</v>
      </c>
      <c r="B653">
        <v>64</v>
      </c>
      <c r="C653" t="s">
        <v>66</v>
      </c>
      <c r="D653" t="s">
        <v>33</v>
      </c>
      <c r="E653">
        <v>3682.07</v>
      </c>
      <c r="F653">
        <v>3908.39</v>
      </c>
      <c r="G653" t="s">
        <v>104</v>
      </c>
      <c r="H653" s="1">
        <v>44828</v>
      </c>
      <c r="I653" s="1">
        <v>45329</v>
      </c>
      <c r="J653" t="s">
        <v>3119</v>
      </c>
      <c r="K653" t="s">
        <v>28</v>
      </c>
      <c r="L653" t="s">
        <v>43</v>
      </c>
      <c r="M653">
        <v>0.9</v>
      </c>
      <c r="N653" t="s">
        <v>3120</v>
      </c>
      <c r="O653" t="s">
        <v>3121</v>
      </c>
      <c r="P653" t="s">
        <v>3122</v>
      </c>
    </row>
    <row r="654" spans="1:16" x14ac:dyDescent="0.45">
      <c r="A654" t="s">
        <v>3123</v>
      </c>
      <c r="B654">
        <v>52</v>
      </c>
      <c r="C654" t="s">
        <v>83</v>
      </c>
      <c r="D654" t="s">
        <v>41</v>
      </c>
      <c r="E654">
        <v>3363.64</v>
      </c>
      <c r="F654">
        <v>15317.54</v>
      </c>
      <c r="G654" t="s">
        <v>104</v>
      </c>
      <c r="H654" s="1">
        <v>44905</v>
      </c>
      <c r="I654" s="1">
        <v>45594</v>
      </c>
      <c r="J654" t="s">
        <v>3124</v>
      </c>
      <c r="K654" t="s">
        <v>21</v>
      </c>
      <c r="L654" t="s">
        <v>22</v>
      </c>
      <c r="M654">
        <v>0.1</v>
      </c>
      <c r="N654" t="s">
        <v>3125</v>
      </c>
      <c r="O654" t="s">
        <v>3126</v>
      </c>
      <c r="P654" t="s">
        <v>3127</v>
      </c>
    </row>
    <row r="655" spans="1:16" x14ac:dyDescent="0.45">
      <c r="A655" t="s">
        <v>3128</v>
      </c>
      <c r="B655">
        <v>33</v>
      </c>
      <c r="C655" t="s">
        <v>26</v>
      </c>
      <c r="D655" t="s">
        <v>18</v>
      </c>
      <c r="E655">
        <v>3354</v>
      </c>
      <c r="F655">
        <v>1770.44</v>
      </c>
      <c r="G655" t="s">
        <v>19</v>
      </c>
      <c r="H655" s="1">
        <v>44999</v>
      </c>
      <c r="I655" s="1">
        <v>45757</v>
      </c>
      <c r="J655" t="s">
        <v>3129</v>
      </c>
      <c r="K655" t="s">
        <v>28</v>
      </c>
      <c r="L655" t="s">
        <v>43</v>
      </c>
      <c r="M655">
        <v>0.27</v>
      </c>
      <c r="N655" t="s">
        <v>3130</v>
      </c>
      <c r="O655" t="s">
        <v>3131</v>
      </c>
      <c r="P655" t="s">
        <v>3132</v>
      </c>
    </row>
    <row r="656" spans="1:16" x14ac:dyDescent="0.45">
      <c r="A656" t="s">
        <v>3133</v>
      </c>
      <c r="B656">
        <v>43</v>
      </c>
      <c r="C656" t="s">
        <v>32</v>
      </c>
      <c r="D656" t="s">
        <v>18</v>
      </c>
      <c r="E656">
        <v>2186.5300000000002</v>
      </c>
      <c r="F656">
        <v>9356.14</v>
      </c>
      <c r="G656" t="s">
        <v>19</v>
      </c>
      <c r="H656" s="1">
        <v>45217</v>
      </c>
      <c r="I656" s="1">
        <v>45722</v>
      </c>
      <c r="J656" t="s">
        <v>3134</v>
      </c>
      <c r="K656" t="s">
        <v>28</v>
      </c>
      <c r="L656" t="s">
        <v>22</v>
      </c>
      <c r="M656">
        <v>0.71</v>
      </c>
      <c r="N656" t="s">
        <v>3135</v>
      </c>
      <c r="O656" t="s">
        <v>3136</v>
      </c>
      <c r="P656" t="s">
        <v>3137</v>
      </c>
    </row>
    <row r="657" spans="1:16" x14ac:dyDescent="0.45">
      <c r="A657" t="s">
        <v>2657</v>
      </c>
      <c r="B657">
        <v>61</v>
      </c>
      <c r="C657" t="s">
        <v>26</v>
      </c>
      <c r="D657" t="s">
        <v>67</v>
      </c>
      <c r="E657">
        <v>669.62</v>
      </c>
      <c r="F657">
        <v>5617.11</v>
      </c>
      <c r="G657" t="s">
        <v>85</v>
      </c>
      <c r="H657" s="1">
        <v>45091</v>
      </c>
      <c r="I657" s="1">
        <v>45099</v>
      </c>
      <c r="J657" t="s">
        <v>3138</v>
      </c>
      <c r="K657" t="s">
        <v>35</v>
      </c>
      <c r="L657" t="s">
        <v>22</v>
      </c>
      <c r="M657">
        <v>0.66</v>
      </c>
      <c r="N657" t="s">
        <v>3139</v>
      </c>
      <c r="O657" t="s">
        <v>3140</v>
      </c>
      <c r="P657" t="s">
        <v>3141</v>
      </c>
    </row>
    <row r="658" spans="1:16" x14ac:dyDescent="0.45">
      <c r="A658" t="s">
        <v>3142</v>
      </c>
      <c r="B658">
        <v>45</v>
      </c>
      <c r="C658" t="s">
        <v>83</v>
      </c>
      <c r="D658" t="s">
        <v>33</v>
      </c>
      <c r="E658">
        <v>4594.8999999999996</v>
      </c>
      <c r="F658">
        <v>12496.99</v>
      </c>
      <c r="G658" t="s">
        <v>19</v>
      </c>
      <c r="H658" s="1">
        <v>45274</v>
      </c>
      <c r="I658" s="1">
        <v>45284</v>
      </c>
      <c r="J658" t="s">
        <v>3143</v>
      </c>
      <c r="K658" t="s">
        <v>50</v>
      </c>
      <c r="L658" t="s">
        <v>22</v>
      </c>
      <c r="M658">
        <v>0.25</v>
      </c>
      <c r="N658" t="s">
        <v>3144</v>
      </c>
      <c r="O658">
        <f>61-409-499-576</f>
        <v>-1423</v>
      </c>
      <c r="P658" t="s">
        <v>3145</v>
      </c>
    </row>
    <row r="659" spans="1:16" x14ac:dyDescent="0.45">
      <c r="A659" t="s">
        <v>3146</v>
      </c>
      <c r="B659">
        <v>23</v>
      </c>
      <c r="C659" t="s">
        <v>66</v>
      </c>
      <c r="D659" t="s">
        <v>84</v>
      </c>
      <c r="E659">
        <v>365.78</v>
      </c>
      <c r="F659">
        <v>13421.26</v>
      </c>
      <c r="G659" t="s">
        <v>19</v>
      </c>
      <c r="H659" s="1">
        <v>45019</v>
      </c>
      <c r="I659" s="1">
        <v>45125</v>
      </c>
      <c r="J659" t="s">
        <v>3147</v>
      </c>
      <c r="K659" t="s">
        <v>50</v>
      </c>
      <c r="L659" t="s">
        <v>36</v>
      </c>
      <c r="M659">
        <v>0.73</v>
      </c>
      <c r="N659" t="s">
        <v>3148</v>
      </c>
      <c r="O659">
        <v>791572941</v>
      </c>
      <c r="P659" t="s">
        <v>3149</v>
      </c>
    </row>
    <row r="660" spans="1:16" x14ac:dyDescent="0.45">
      <c r="A660" t="s">
        <v>3150</v>
      </c>
      <c r="B660">
        <v>53</v>
      </c>
      <c r="C660" t="s">
        <v>83</v>
      </c>
      <c r="D660" t="s">
        <v>67</v>
      </c>
      <c r="E660">
        <v>4208.84</v>
      </c>
      <c r="F660">
        <v>18301.599999999999</v>
      </c>
      <c r="G660" t="s">
        <v>19</v>
      </c>
      <c r="H660" s="1">
        <v>44785</v>
      </c>
      <c r="I660" s="1">
        <v>45259</v>
      </c>
      <c r="J660" t="s">
        <v>3151</v>
      </c>
      <c r="K660" t="s">
        <v>35</v>
      </c>
      <c r="L660" t="s">
        <v>36</v>
      </c>
      <c r="M660">
        <v>0.8</v>
      </c>
      <c r="N660" t="s">
        <v>3152</v>
      </c>
      <c r="O660" t="s">
        <v>3153</v>
      </c>
      <c r="P660" t="s">
        <v>3154</v>
      </c>
    </row>
    <row r="661" spans="1:16" x14ac:dyDescent="0.45">
      <c r="A661" t="s">
        <v>3155</v>
      </c>
      <c r="B661">
        <v>24</v>
      </c>
      <c r="C661" t="s">
        <v>66</v>
      </c>
      <c r="D661" t="s">
        <v>41</v>
      </c>
      <c r="E661">
        <v>737.65</v>
      </c>
      <c r="F661">
        <v>4545.82</v>
      </c>
      <c r="G661" t="s">
        <v>19</v>
      </c>
      <c r="H661" s="1">
        <v>44979</v>
      </c>
      <c r="I661" s="1">
        <v>45520</v>
      </c>
      <c r="J661" t="s">
        <v>3156</v>
      </c>
      <c r="K661" t="s">
        <v>35</v>
      </c>
      <c r="L661" t="s">
        <v>22</v>
      </c>
      <c r="M661">
        <v>0.2</v>
      </c>
      <c r="N661" t="s">
        <v>3157</v>
      </c>
      <c r="O661">
        <v>61737669021</v>
      </c>
      <c r="P661" t="s">
        <v>3158</v>
      </c>
    </row>
    <row r="662" spans="1:16" x14ac:dyDescent="0.45">
      <c r="A662" t="s">
        <v>3159</v>
      </c>
      <c r="B662">
        <v>48</v>
      </c>
      <c r="C662" t="s">
        <v>55</v>
      </c>
      <c r="D662" t="s">
        <v>84</v>
      </c>
      <c r="E662">
        <v>1343.64</v>
      </c>
      <c r="F662">
        <v>285.5</v>
      </c>
      <c r="G662" t="s">
        <v>85</v>
      </c>
      <c r="H662" s="1">
        <v>45055</v>
      </c>
      <c r="I662" s="1">
        <v>45679</v>
      </c>
      <c r="J662" t="s">
        <v>3160</v>
      </c>
      <c r="K662" t="s">
        <v>35</v>
      </c>
      <c r="L662" t="s">
        <v>36</v>
      </c>
      <c r="M662">
        <v>7.0000000000000007E-2</v>
      </c>
      <c r="N662" t="s">
        <v>3161</v>
      </c>
      <c r="O662" t="s">
        <v>3162</v>
      </c>
      <c r="P662" t="s">
        <v>3163</v>
      </c>
    </row>
    <row r="663" spans="1:16" x14ac:dyDescent="0.45">
      <c r="A663" t="s">
        <v>3164</v>
      </c>
      <c r="B663">
        <v>57</v>
      </c>
      <c r="C663" t="s">
        <v>55</v>
      </c>
      <c r="D663" t="s">
        <v>67</v>
      </c>
      <c r="E663">
        <v>2537.36</v>
      </c>
      <c r="F663">
        <v>15090.47</v>
      </c>
      <c r="G663" t="s">
        <v>19</v>
      </c>
      <c r="H663" s="1">
        <v>45122</v>
      </c>
      <c r="I663" s="1">
        <v>45449</v>
      </c>
      <c r="J663" t="s">
        <v>3165</v>
      </c>
      <c r="K663" t="s">
        <v>21</v>
      </c>
      <c r="L663" t="s">
        <v>43</v>
      </c>
      <c r="M663">
        <v>0.96</v>
      </c>
      <c r="N663" t="s">
        <v>3166</v>
      </c>
      <c r="O663" t="s">
        <v>3167</v>
      </c>
      <c r="P663" t="s">
        <v>3168</v>
      </c>
    </row>
    <row r="664" spans="1:16" x14ac:dyDescent="0.45">
      <c r="A664" t="s">
        <v>3169</v>
      </c>
      <c r="B664">
        <v>19</v>
      </c>
      <c r="C664" t="s">
        <v>40</v>
      </c>
      <c r="D664" t="s">
        <v>18</v>
      </c>
      <c r="E664">
        <v>2634.52</v>
      </c>
      <c r="F664">
        <v>8818.2800000000007</v>
      </c>
      <c r="G664" t="s">
        <v>19</v>
      </c>
      <c r="H664" s="1">
        <v>45157</v>
      </c>
      <c r="I664" s="1">
        <v>45867</v>
      </c>
      <c r="J664" t="s">
        <v>3170</v>
      </c>
      <c r="K664" t="s">
        <v>50</v>
      </c>
      <c r="L664" t="s">
        <v>22</v>
      </c>
      <c r="M664">
        <v>0.68</v>
      </c>
      <c r="N664" t="s">
        <v>3171</v>
      </c>
      <c r="O664" t="s">
        <v>3172</v>
      </c>
      <c r="P664" t="s">
        <v>3173</v>
      </c>
    </row>
    <row r="665" spans="1:16" x14ac:dyDescent="0.45">
      <c r="A665" t="s">
        <v>3174</v>
      </c>
      <c r="B665">
        <v>33</v>
      </c>
      <c r="C665" t="s">
        <v>26</v>
      </c>
      <c r="D665" t="s">
        <v>33</v>
      </c>
      <c r="E665">
        <v>2804.25</v>
      </c>
      <c r="F665">
        <v>6980.14</v>
      </c>
      <c r="G665" t="s">
        <v>19</v>
      </c>
      <c r="H665" s="1">
        <v>45143</v>
      </c>
      <c r="I665" s="1">
        <v>45489</v>
      </c>
      <c r="J665" t="s">
        <v>3175</v>
      </c>
      <c r="K665" t="s">
        <v>28</v>
      </c>
      <c r="L665" t="s">
        <v>43</v>
      </c>
      <c r="M665">
        <v>0.54</v>
      </c>
      <c r="N665" t="s">
        <v>3176</v>
      </c>
      <c r="O665">
        <f>61-492-746-247</f>
        <v>-1424</v>
      </c>
      <c r="P665" t="s">
        <v>3177</v>
      </c>
    </row>
    <row r="666" spans="1:16" x14ac:dyDescent="0.45">
      <c r="A666" t="s">
        <v>3178</v>
      </c>
      <c r="B666">
        <v>38</v>
      </c>
      <c r="C666" t="s">
        <v>17</v>
      </c>
      <c r="D666" t="s">
        <v>41</v>
      </c>
      <c r="E666">
        <v>3641.78</v>
      </c>
      <c r="F666">
        <v>9962.57</v>
      </c>
      <c r="G666" t="s">
        <v>19</v>
      </c>
      <c r="H666" s="1">
        <v>44931</v>
      </c>
      <c r="I666" s="1">
        <v>45408</v>
      </c>
      <c r="J666" t="s">
        <v>3179</v>
      </c>
      <c r="K666" t="s">
        <v>35</v>
      </c>
      <c r="L666" t="s">
        <v>36</v>
      </c>
      <c r="M666">
        <v>0.82</v>
      </c>
      <c r="N666" t="s">
        <v>3180</v>
      </c>
      <c r="O666" t="s">
        <v>3181</v>
      </c>
      <c r="P666" t="s">
        <v>3182</v>
      </c>
    </row>
    <row r="667" spans="1:16" x14ac:dyDescent="0.45">
      <c r="A667" t="s">
        <v>3183</v>
      </c>
      <c r="B667">
        <v>19</v>
      </c>
      <c r="C667" t="s">
        <v>32</v>
      </c>
      <c r="D667" t="s">
        <v>41</v>
      </c>
      <c r="E667">
        <v>1042.6099999999999</v>
      </c>
      <c r="F667">
        <v>15793.13</v>
      </c>
      <c r="G667" t="s">
        <v>85</v>
      </c>
      <c r="H667" s="1">
        <v>44891</v>
      </c>
      <c r="I667" s="1">
        <v>45030</v>
      </c>
      <c r="J667" t="s">
        <v>3184</v>
      </c>
      <c r="K667" t="s">
        <v>21</v>
      </c>
      <c r="L667" t="s">
        <v>36</v>
      </c>
      <c r="M667">
        <v>0.7</v>
      </c>
      <c r="N667" t="s">
        <v>3185</v>
      </c>
      <c r="O667" t="s">
        <v>3186</v>
      </c>
      <c r="P667" t="s">
        <v>3187</v>
      </c>
    </row>
    <row r="668" spans="1:16" x14ac:dyDescent="0.45">
      <c r="A668" t="s">
        <v>3188</v>
      </c>
      <c r="B668">
        <v>53</v>
      </c>
      <c r="C668" t="s">
        <v>83</v>
      </c>
      <c r="D668" t="s">
        <v>67</v>
      </c>
      <c r="E668">
        <v>748</v>
      </c>
      <c r="F668">
        <v>12480.95</v>
      </c>
      <c r="G668" t="s">
        <v>19</v>
      </c>
      <c r="H668" s="1">
        <v>44797</v>
      </c>
      <c r="I668" s="1">
        <v>45707</v>
      </c>
      <c r="J668" t="s">
        <v>3189</v>
      </c>
      <c r="K668" t="s">
        <v>35</v>
      </c>
      <c r="L668" t="s">
        <v>36</v>
      </c>
      <c r="M668">
        <v>0.95</v>
      </c>
      <c r="N668" t="s">
        <v>3190</v>
      </c>
      <c r="O668" t="s">
        <v>3191</v>
      </c>
      <c r="P668" t="s">
        <v>3192</v>
      </c>
    </row>
    <row r="669" spans="1:16" x14ac:dyDescent="0.45">
      <c r="A669" t="s">
        <v>3193</v>
      </c>
      <c r="B669">
        <v>51</v>
      </c>
      <c r="C669" t="s">
        <v>40</v>
      </c>
      <c r="D669" t="s">
        <v>18</v>
      </c>
      <c r="E669">
        <v>4504.49</v>
      </c>
      <c r="F669">
        <v>1429.94</v>
      </c>
      <c r="G669" t="s">
        <v>19</v>
      </c>
      <c r="H669" s="1">
        <v>45028</v>
      </c>
      <c r="I669" s="1">
        <v>45573</v>
      </c>
      <c r="J669" t="s">
        <v>3194</v>
      </c>
      <c r="K669" t="s">
        <v>21</v>
      </c>
      <c r="L669" t="s">
        <v>22</v>
      </c>
      <c r="M669">
        <v>0.69</v>
      </c>
      <c r="N669" t="s">
        <v>3195</v>
      </c>
      <c r="O669">
        <f>61-494-776-133</f>
        <v>-1342</v>
      </c>
      <c r="P669" t="s">
        <v>3196</v>
      </c>
    </row>
    <row r="670" spans="1:16" x14ac:dyDescent="0.45">
      <c r="A670" t="s">
        <v>3197</v>
      </c>
      <c r="B670">
        <v>32</v>
      </c>
      <c r="C670" t="s">
        <v>26</v>
      </c>
      <c r="D670" t="s">
        <v>18</v>
      </c>
      <c r="E670">
        <v>4060.35</v>
      </c>
      <c r="F670">
        <v>15528.52</v>
      </c>
      <c r="G670" t="s">
        <v>19</v>
      </c>
      <c r="H670" s="1">
        <v>44916</v>
      </c>
      <c r="I670" s="1">
        <v>45470</v>
      </c>
      <c r="J670" t="s">
        <v>3198</v>
      </c>
      <c r="K670" t="s">
        <v>50</v>
      </c>
      <c r="L670" t="s">
        <v>22</v>
      </c>
      <c r="M670">
        <v>0.96</v>
      </c>
      <c r="N670" t="s">
        <v>3199</v>
      </c>
      <c r="O670" t="s">
        <v>3200</v>
      </c>
      <c r="P670" t="s">
        <v>3201</v>
      </c>
    </row>
    <row r="671" spans="1:16" x14ac:dyDescent="0.45">
      <c r="A671" t="s">
        <v>3202</v>
      </c>
      <c r="B671">
        <v>60</v>
      </c>
      <c r="C671" t="s">
        <v>32</v>
      </c>
      <c r="D671" t="s">
        <v>41</v>
      </c>
      <c r="E671">
        <v>985.96</v>
      </c>
      <c r="F671">
        <v>953.88</v>
      </c>
      <c r="G671" t="s">
        <v>104</v>
      </c>
      <c r="H671" s="1">
        <v>45195</v>
      </c>
      <c r="I671" s="1">
        <v>45654</v>
      </c>
      <c r="J671" t="s">
        <v>3203</v>
      </c>
      <c r="K671" t="s">
        <v>35</v>
      </c>
      <c r="L671" t="s">
        <v>22</v>
      </c>
      <c r="M671">
        <v>0.61</v>
      </c>
      <c r="N671" t="s">
        <v>3204</v>
      </c>
      <c r="O671" t="s">
        <v>3205</v>
      </c>
      <c r="P671" t="s">
        <v>3206</v>
      </c>
    </row>
    <row r="672" spans="1:16" x14ac:dyDescent="0.45">
      <c r="A672" t="s">
        <v>3207</v>
      </c>
      <c r="B672">
        <v>58</v>
      </c>
      <c r="C672" t="s">
        <v>32</v>
      </c>
      <c r="D672" t="s">
        <v>41</v>
      </c>
      <c r="E672">
        <v>3885.29</v>
      </c>
      <c r="F672">
        <v>9680.89</v>
      </c>
      <c r="G672" t="s">
        <v>19</v>
      </c>
      <c r="H672" s="1">
        <v>44816</v>
      </c>
      <c r="I672" s="1">
        <v>45287</v>
      </c>
      <c r="J672" t="s">
        <v>3208</v>
      </c>
      <c r="K672" t="s">
        <v>50</v>
      </c>
      <c r="L672" t="s">
        <v>36</v>
      </c>
      <c r="M672">
        <v>0.23</v>
      </c>
      <c r="N672" t="s">
        <v>3209</v>
      </c>
      <c r="O672">
        <f>61-431-450-267</f>
        <v>-1087</v>
      </c>
      <c r="P672" t="s">
        <v>3210</v>
      </c>
    </row>
    <row r="673" spans="1:16" x14ac:dyDescent="0.45">
      <c r="A673" t="s">
        <v>3211</v>
      </c>
      <c r="B673">
        <v>27</v>
      </c>
      <c r="C673" t="s">
        <v>32</v>
      </c>
      <c r="D673" t="s">
        <v>41</v>
      </c>
      <c r="E673">
        <v>790.5</v>
      </c>
      <c r="F673">
        <v>725.09</v>
      </c>
      <c r="G673" t="s">
        <v>19</v>
      </c>
      <c r="H673" s="1">
        <v>44901</v>
      </c>
      <c r="I673" s="1">
        <v>45779</v>
      </c>
      <c r="J673" t="s">
        <v>3212</v>
      </c>
      <c r="K673" t="s">
        <v>21</v>
      </c>
      <c r="L673" t="s">
        <v>22</v>
      </c>
      <c r="M673">
        <v>0.91</v>
      </c>
      <c r="N673" t="s">
        <v>3213</v>
      </c>
      <c r="O673" t="s">
        <v>3214</v>
      </c>
      <c r="P673" t="s">
        <v>3215</v>
      </c>
    </row>
    <row r="674" spans="1:16" x14ac:dyDescent="0.45">
      <c r="A674" t="s">
        <v>3216</v>
      </c>
      <c r="B674">
        <v>50</v>
      </c>
      <c r="C674" t="s">
        <v>83</v>
      </c>
      <c r="D674" t="s">
        <v>84</v>
      </c>
      <c r="E674">
        <v>4676.6499999999996</v>
      </c>
      <c r="F674">
        <v>5693.6</v>
      </c>
      <c r="G674" t="s">
        <v>19</v>
      </c>
      <c r="H674" s="1">
        <v>45250</v>
      </c>
      <c r="I674" s="1">
        <v>45464</v>
      </c>
      <c r="J674" t="s">
        <v>3217</v>
      </c>
      <c r="K674" t="s">
        <v>21</v>
      </c>
      <c r="L674" t="s">
        <v>36</v>
      </c>
      <c r="M674">
        <v>0.85</v>
      </c>
      <c r="N674" t="s">
        <v>3218</v>
      </c>
      <c r="O674" t="s">
        <v>3219</v>
      </c>
      <c r="P674" t="s">
        <v>3220</v>
      </c>
    </row>
    <row r="675" spans="1:16" x14ac:dyDescent="0.45">
      <c r="A675" t="s">
        <v>3221</v>
      </c>
      <c r="B675">
        <v>41</v>
      </c>
      <c r="C675" t="s">
        <v>17</v>
      </c>
      <c r="D675" t="s">
        <v>33</v>
      </c>
      <c r="E675">
        <v>3422.6</v>
      </c>
      <c r="F675">
        <v>7760.79</v>
      </c>
      <c r="G675" t="s">
        <v>19</v>
      </c>
      <c r="H675" s="1">
        <v>44955</v>
      </c>
      <c r="I675" s="1">
        <v>45355</v>
      </c>
      <c r="J675" t="s">
        <v>3222</v>
      </c>
      <c r="K675" t="s">
        <v>21</v>
      </c>
      <c r="L675" t="s">
        <v>36</v>
      </c>
      <c r="M675">
        <v>0.99</v>
      </c>
      <c r="N675" t="s">
        <v>3223</v>
      </c>
      <c r="O675" t="s">
        <v>3224</v>
      </c>
      <c r="P675" t="s">
        <v>3225</v>
      </c>
    </row>
    <row r="676" spans="1:16" x14ac:dyDescent="0.45">
      <c r="A676" t="s">
        <v>3226</v>
      </c>
      <c r="B676">
        <v>32</v>
      </c>
      <c r="C676" t="s">
        <v>26</v>
      </c>
      <c r="D676" t="s">
        <v>18</v>
      </c>
      <c r="E676">
        <v>3771.06</v>
      </c>
      <c r="F676">
        <v>2285.5300000000002</v>
      </c>
      <c r="G676" t="s">
        <v>19</v>
      </c>
      <c r="H676" s="1">
        <v>45224</v>
      </c>
      <c r="I676" s="1">
        <v>45537</v>
      </c>
      <c r="J676" t="s">
        <v>3227</v>
      </c>
      <c r="K676" t="s">
        <v>21</v>
      </c>
      <c r="L676" t="s">
        <v>43</v>
      </c>
      <c r="M676">
        <v>0.06</v>
      </c>
      <c r="N676" t="s">
        <v>3228</v>
      </c>
      <c r="O676" t="s">
        <v>3229</v>
      </c>
      <c r="P676" t="s">
        <v>3230</v>
      </c>
    </row>
    <row r="677" spans="1:16" x14ac:dyDescent="0.45">
      <c r="A677" t="s">
        <v>3231</v>
      </c>
      <c r="B677">
        <v>60</v>
      </c>
      <c r="C677" t="s">
        <v>32</v>
      </c>
      <c r="D677" t="s">
        <v>18</v>
      </c>
      <c r="E677">
        <v>3356.99</v>
      </c>
      <c r="F677">
        <v>18419.96</v>
      </c>
      <c r="G677" t="s">
        <v>85</v>
      </c>
      <c r="H677" s="1">
        <v>44814</v>
      </c>
      <c r="I677" s="1">
        <v>45616</v>
      </c>
      <c r="J677" t="s">
        <v>3232</v>
      </c>
      <c r="K677" t="s">
        <v>35</v>
      </c>
      <c r="L677" t="s">
        <v>36</v>
      </c>
      <c r="M677">
        <v>0.13</v>
      </c>
      <c r="N677" t="s">
        <v>3233</v>
      </c>
      <c r="O677" t="s">
        <v>3234</v>
      </c>
      <c r="P677" t="s">
        <v>3235</v>
      </c>
    </row>
    <row r="678" spans="1:16" x14ac:dyDescent="0.45">
      <c r="A678" t="s">
        <v>3236</v>
      </c>
      <c r="B678">
        <v>20</v>
      </c>
      <c r="C678" t="s">
        <v>55</v>
      </c>
      <c r="D678" t="s">
        <v>84</v>
      </c>
      <c r="E678">
        <v>3929.31</v>
      </c>
      <c r="F678">
        <v>5504.34</v>
      </c>
      <c r="G678" t="s">
        <v>19</v>
      </c>
      <c r="H678" s="1">
        <v>45014</v>
      </c>
      <c r="I678" s="1">
        <v>45741</v>
      </c>
      <c r="J678" t="s">
        <v>3237</v>
      </c>
      <c r="K678" t="s">
        <v>50</v>
      </c>
      <c r="L678" t="s">
        <v>43</v>
      </c>
      <c r="M678">
        <v>0.57999999999999996</v>
      </c>
      <c r="N678" t="s">
        <v>3238</v>
      </c>
      <c r="O678">
        <v>19412606</v>
      </c>
      <c r="P678" t="s">
        <v>3239</v>
      </c>
    </row>
    <row r="679" spans="1:16" x14ac:dyDescent="0.45">
      <c r="A679" t="s">
        <v>3240</v>
      </c>
      <c r="B679">
        <v>45</v>
      </c>
      <c r="C679" t="s">
        <v>48</v>
      </c>
      <c r="D679" t="s">
        <v>18</v>
      </c>
      <c r="E679">
        <v>4714.71</v>
      </c>
      <c r="F679">
        <v>7667.41</v>
      </c>
      <c r="G679" t="s">
        <v>104</v>
      </c>
      <c r="H679" s="1">
        <v>44923</v>
      </c>
      <c r="I679" s="1">
        <v>45163</v>
      </c>
      <c r="J679" t="s">
        <v>3241</v>
      </c>
      <c r="K679" t="s">
        <v>21</v>
      </c>
      <c r="L679" t="s">
        <v>43</v>
      </c>
      <c r="M679">
        <v>0.42</v>
      </c>
      <c r="N679" t="s">
        <v>3242</v>
      </c>
      <c r="O679">
        <f>61-3-2555-9077</f>
        <v>-11574</v>
      </c>
      <c r="P679" t="s">
        <v>3243</v>
      </c>
    </row>
    <row r="680" spans="1:16" x14ac:dyDescent="0.45">
      <c r="A680" t="s">
        <v>3244</v>
      </c>
      <c r="B680">
        <v>21</v>
      </c>
      <c r="C680" t="s">
        <v>55</v>
      </c>
      <c r="D680" t="s">
        <v>33</v>
      </c>
      <c r="E680">
        <v>2016.61</v>
      </c>
      <c r="F680">
        <v>10421.27</v>
      </c>
      <c r="G680" t="s">
        <v>104</v>
      </c>
      <c r="H680" s="1">
        <v>45056</v>
      </c>
      <c r="I680" s="1">
        <v>45426</v>
      </c>
      <c r="J680" t="s">
        <v>3245</v>
      </c>
      <c r="K680" t="s">
        <v>35</v>
      </c>
      <c r="L680" t="s">
        <v>22</v>
      </c>
      <c r="M680">
        <v>0.54</v>
      </c>
      <c r="N680" t="s">
        <v>3246</v>
      </c>
      <c r="O680">
        <f>61-7-7469-1581</f>
        <v>-8996</v>
      </c>
      <c r="P680" t="s">
        <v>3247</v>
      </c>
    </row>
    <row r="681" spans="1:16" x14ac:dyDescent="0.45">
      <c r="A681" t="s">
        <v>3248</v>
      </c>
      <c r="B681">
        <v>59</v>
      </c>
      <c r="C681" t="s">
        <v>17</v>
      </c>
      <c r="D681" t="s">
        <v>18</v>
      </c>
      <c r="E681">
        <v>490.13</v>
      </c>
      <c r="F681">
        <v>6345.06</v>
      </c>
      <c r="G681" t="s">
        <v>104</v>
      </c>
      <c r="H681" s="1">
        <v>45263</v>
      </c>
      <c r="I681" s="1">
        <v>45436</v>
      </c>
      <c r="J681" t="s">
        <v>3249</v>
      </c>
      <c r="K681" t="s">
        <v>28</v>
      </c>
      <c r="L681" t="s">
        <v>43</v>
      </c>
      <c r="M681">
        <v>0.21</v>
      </c>
      <c r="N681" t="s">
        <v>3250</v>
      </c>
      <c r="O681" t="s">
        <v>3251</v>
      </c>
      <c r="P681" t="s">
        <v>3252</v>
      </c>
    </row>
    <row r="682" spans="1:16" x14ac:dyDescent="0.45">
      <c r="A682" t="s">
        <v>3253</v>
      </c>
      <c r="B682">
        <v>29</v>
      </c>
      <c r="C682" t="s">
        <v>32</v>
      </c>
      <c r="D682" t="s">
        <v>18</v>
      </c>
      <c r="E682">
        <v>1141.76</v>
      </c>
      <c r="F682">
        <v>275.69</v>
      </c>
      <c r="G682" t="s">
        <v>19</v>
      </c>
      <c r="H682" s="1">
        <v>45054</v>
      </c>
      <c r="I682" s="1">
        <v>45860</v>
      </c>
      <c r="J682" t="s">
        <v>3254</v>
      </c>
      <c r="K682" t="s">
        <v>35</v>
      </c>
      <c r="L682" t="s">
        <v>36</v>
      </c>
      <c r="M682">
        <v>0.26</v>
      </c>
      <c r="N682" t="s">
        <v>3255</v>
      </c>
      <c r="O682" t="s">
        <v>3256</v>
      </c>
      <c r="P682" t="s">
        <v>3257</v>
      </c>
    </row>
    <row r="683" spans="1:16" x14ac:dyDescent="0.45">
      <c r="A683" t="s">
        <v>3258</v>
      </c>
      <c r="B683">
        <v>33</v>
      </c>
      <c r="C683" t="s">
        <v>40</v>
      </c>
      <c r="D683" t="s">
        <v>41</v>
      </c>
      <c r="E683">
        <v>2946.03</v>
      </c>
      <c r="F683">
        <v>14884.73</v>
      </c>
      <c r="G683" t="s">
        <v>104</v>
      </c>
      <c r="H683" s="1">
        <v>45482</v>
      </c>
      <c r="I683" s="1">
        <v>45538</v>
      </c>
      <c r="J683" t="s">
        <v>3259</v>
      </c>
      <c r="K683" t="s">
        <v>28</v>
      </c>
      <c r="L683" t="s">
        <v>43</v>
      </c>
      <c r="M683">
        <v>0.21</v>
      </c>
      <c r="N683" t="s">
        <v>3260</v>
      </c>
      <c r="O683" t="s">
        <v>3261</v>
      </c>
      <c r="P683" t="s">
        <v>3262</v>
      </c>
    </row>
    <row r="684" spans="1:16" x14ac:dyDescent="0.45">
      <c r="A684" t="s">
        <v>3263</v>
      </c>
      <c r="B684">
        <v>18</v>
      </c>
      <c r="C684" t="s">
        <v>17</v>
      </c>
      <c r="D684" t="s">
        <v>41</v>
      </c>
      <c r="E684">
        <v>625.41999999999996</v>
      </c>
      <c r="F684">
        <v>8270.2099999999991</v>
      </c>
      <c r="G684" t="s">
        <v>19</v>
      </c>
      <c r="H684" s="1">
        <v>44962</v>
      </c>
      <c r="I684" s="1">
        <v>45601</v>
      </c>
      <c r="J684" t="s">
        <v>3264</v>
      </c>
      <c r="K684" t="s">
        <v>28</v>
      </c>
      <c r="L684" t="s">
        <v>36</v>
      </c>
      <c r="M684">
        <v>0.91</v>
      </c>
      <c r="N684" t="s">
        <v>3265</v>
      </c>
      <c r="O684">
        <v>61895360291</v>
      </c>
      <c r="P684" t="s">
        <v>3266</v>
      </c>
    </row>
    <row r="685" spans="1:16" x14ac:dyDescent="0.45">
      <c r="A685" t="s">
        <v>3267</v>
      </c>
      <c r="B685">
        <v>72</v>
      </c>
      <c r="C685" t="s">
        <v>66</v>
      </c>
      <c r="D685" t="s">
        <v>18</v>
      </c>
      <c r="E685">
        <v>801.56</v>
      </c>
      <c r="F685">
        <v>8276.2999999999993</v>
      </c>
      <c r="G685" t="s">
        <v>104</v>
      </c>
      <c r="H685" s="1">
        <v>45451</v>
      </c>
      <c r="I685" s="1">
        <v>45714</v>
      </c>
      <c r="J685" t="s">
        <v>3268</v>
      </c>
      <c r="K685" t="s">
        <v>28</v>
      </c>
      <c r="L685" t="s">
        <v>36</v>
      </c>
      <c r="M685">
        <v>0.89</v>
      </c>
      <c r="N685" t="s">
        <v>3269</v>
      </c>
      <c r="O685" t="s">
        <v>3270</v>
      </c>
      <c r="P685" t="s">
        <v>3271</v>
      </c>
    </row>
    <row r="686" spans="1:16" x14ac:dyDescent="0.45">
      <c r="A686" t="s">
        <v>3272</v>
      </c>
      <c r="B686">
        <v>30</v>
      </c>
      <c r="C686" t="s">
        <v>55</v>
      </c>
      <c r="D686" t="s">
        <v>33</v>
      </c>
      <c r="E686">
        <v>3204.17</v>
      </c>
      <c r="F686">
        <v>7446.88</v>
      </c>
      <c r="G686" t="s">
        <v>19</v>
      </c>
      <c r="H686" s="1">
        <v>44944</v>
      </c>
      <c r="I686" s="1">
        <v>45837</v>
      </c>
      <c r="J686" t="s">
        <v>3273</v>
      </c>
      <c r="K686" t="s">
        <v>28</v>
      </c>
      <c r="L686" t="s">
        <v>36</v>
      </c>
      <c r="M686">
        <v>0.62</v>
      </c>
      <c r="N686" t="s">
        <v>3274</v>
      </c>
      <c r="O686">
        <v>849823593</v>
      </c>
      <c r="P686" t="s">
        <v>3275</v>
      </c>
    </row>
    <row r="687" spans="1:16" x14ac:dyDescent="0.45">
      <c r="A687" t="s">
        <v>309</v>
      </c>
      <c r="B687">
        <v>48</v>
      </c>
      <c r="C687" t="s">
        <v>40</v>
      </c>
      <c r="D687" t="s">
        <v>33</v>
      </c>
      <c r="E687">
        <v>4052.45</v>
      </c>
      <c r="F687">
        <v>4600.57</v>
      </c>
      <c r="G687" t="s">
        <v>19</v>
      </c>
      <c r="H687" s="1">
        <v>45348</v>
      </c>
      <c r="I687" s="1">
        <v>45684</v>
      </c>
      <c r="J687" t="s">
        <v>3276</v>
      </c>
      <c r="K687" t="s">
        <v>50</v>
      </c>
      <c r="L687" t="s">
        <v>36</v>
      </c>
      <c r="M687">
        <v>0.41</v>
      </c>
      <c r="N687" t="s">
        <v>3277</v>
      </c>
      <c r="O687">
        <f>61-414-559-992</f>
        <v>-1904</v>
      </c>
      <c r="P687" t="s">
        <v>3278</v>
      </c>
    </row>
    <row r="688" spans="1:16" x14ac:dyDescent="0.45">
      <c r="A688" t="s">
        <v>3279</v>
      </c>
      <c r="B688">
        <v>37</v>
      </c>
      <c r="C688" t="s">
        <v>17</v>
      </c>
      <c r="D688" t="s">
        <v>33</v>
      </c>
      <c r="E688">
        <v>3987.09</v>
      </c>
      <c r="F688">
        <v>1426.13</v>
      </c>
      <c r="G688" t="s">
        <v>104</v>
      </c>
      <c r="H688" s="1">
        <v>45088</v>
      </c>
      <c r="I688" s="1">
        <v>45210</v>
      </c>
      <c r="J688" t="s">
        <v>3280</v>
      </c>
      <c r="K688" t="s">
        <v>28</v>
      </c>
      <c r="L688" t="s">
        <v>43</v>
      </c>
      <c r="M688">
        <v>0.84</v>
      </c>
      <c r="N688" t="s">
        <v>3281</v>
      </c>
      <c r="O688" t="s">
        <v>3282</v>
      </c>
      <c r="P688" t="s">
        <v>3283</v>
      </c>
    </row>
    <row r="689" spans="1:16" x14ac:dyDescent="0.45">
      <c r="A689" t="s">
        <v>3284</v>
      </c>
      <c r="B689">
        <v>34</v>
      </c>
      <c r="C689" t="s">
        <v>48</v>
      </c>
      <c r="D689" t="s">
        <v>18</v>
      </c>
      <c r="E689">
        <v>3864.09</v>
      </c>
      <c r="F689">
        <v>1255.2</v>
      </c>
      <c r="G689" t="s">
        <v>19</v>
      </c>
      <c r="H689" s="1">
        <v>44909</v>
      </c>
      <c r="I689" s="1">
        <v>45304</v>
      </c>
      <c r="J689" t="s">
        <v>3285</v>
      </c>
      <c r="K689" t="s">
        <v>21</v>
      </c>
      <c r="L689" t="s">
        <v>43</v>
      </c>
      <c r="M689">
        <v>0.44</v>
      </c>
      <c r="N689" t="s">
        <v>3286</v>
      </c>
      <c r="O689" t="s">
        <v>3287</v>
      </c>
      <c r="P689" t="s">
        <v>3288</v>
      </c>
    </row>
    <row r="690" spans="1:16" x14ac:dyDescent="0.45">
      <c r="A690" t="s">
        <v>3289</v>
      </c>
      <c r="B690">
        <v>35</v>
      </c>
      <c r="C690" t="s">
        <v>48</v>
      </c>
      <c r="D690" t="s">
        <v>67</v>
      </c>
      <c r="E690">
        <v>1797.16</v>
      </c>
      <c r="F690">
        <v>13730.55</v>
      </c>
      <c r="G690" t="s">
        <v>19</v>
      </c>
      <c r="H690" s="1">
        <v>45251</v>
      </c>
      <c r="I690" s="1">
        <v>45517</v>
      </c>
      <c r="J690" t="s">
        <v>3290</v>
      </c>
      <c r="K690" t="s">
        <v>21</v>
      </c>
      <c r="L690" t="s">
        <v>43</v>
      </c>
      <c r="M690">
        <v>0.86</v>
      </c>
      <c r="N690" t="s">
        <v>3291</v>
      </c>
      <c r="O690">
        <f>61-2-9431-5830</f>
        <v>-15202</v>
      </c>
      <c r="P690" t="s">
        <v>3292</v>
      </c>
    </row>
    <row r="691" spans="1:16" x14ac:dyDescent="0.45">
      <c r="A691" t="s">
        <v>3293</v>
      </c>
      <c r="B691">
        <v>52</v>
      </c>
      <c r="C691" t="s">
        <v>26</v>
      </c>
      <c r="D691" t="s">
        <v>41</v>
      </c>
      <c r="E691">
        <v>2786.8</v>
      </c>
      <c r="F691">
        <v>12921.59</v>
      </c>
      <c r="G691" t="s">
        <v>19</v>
      </c>
      <c r="H691" s="1">
        <v>45293</v>
      </c>
      <c r="I691" s="1">
        <v>45660</v>
      </c>
      <c r="J691" t="s">
        <v>3294</v>
      </c>
      <c r="K691" t="s">
        <v>21</v>
      </c>
      <c r="L691" t="s">
        <v>43</v>
      </c>
      <c r="M691">
        <v>0.66</v>
      </c>
      <c r="N691" t="s">
        <v>3295</v>
      </c>
      <c r="O691" t="s">
        <v>3296</v>
      </c>
      <c r="P691" t="s">
        <v>3297</v>
      </c>
    </row>
    <row r="692" spans="1:16" x14ac:dyDescent="0.45">
      <c r="A692" t="s">
        <v>3298</v>
      </c>
      <c r="B692">
        <v>56</v>
      </c>
      <c r="C692" t="s">
        <v>40</v>
      </c>
      <c r="D692" t="s">
        <v>67</v>
      </c>
      <c r="E692">
        <v>2927.66</v>
      </c>
      <c r="F692">
        <v>14854.89</v>
      </c>
      <c r="G692" t="s">
        <v>19</v>
      </c>
      <c r="H692" s="1">
        <v>45135</v>
      </c>
      <c r="I692" s="1">
        <v>45159</v>
      </c>
      <c r="J692" t="s">
        <v>3299</v>
      </c>
      <c r="K692" t="s">
        <v>35</v>
      </c>
      <c r="L692" t="s">
        <v>36</v>
      </c>
      <c r="M692">
        <v>0.33</v>
      </c>
      <c r="N692" t="s">
        <v>3300</v>
      </c>
      <c r="O692" t="s">
        <v>3301</v>
      </c>
      <c r="P692" t="s">
        <v>3302</v>
      </c>
    </row>
    <row r="693" spans="1:16" x14ac:dyDescent="0.45">
      <c r="A693" t="s">
        <v>3303</v>
      </c>
      <c r="B693">
        <v>61</v>
      </c>
      <c r="C693" t="s">
        <v>26</v>
      </c>
      <c r="D693" t="s">
        <v>84</v>
      </c>
      <c r="E693">
        <v>2402.38</v>
      </c>
      <c r="F693">
        <v>3893.69</v>
      </c>
      <c r="G693" t="s">
        <v>19</v>
      </c>
      <c r="H693" s="1">
        <v>44943</v>
      </c>
      <c r="I693" s="1">
        <v>45337</v>
      </c>
      <c r="J693" t="s">
        <v>3304</v>
      </c>
      <c r="K693" t="s">
        <v>35</v>
      </c>
      <c r="L693" t="s">
        <v>43</v>
      </c>
      <c r="M693">
        <v>0.34</v>
      </c>
      <c r="N693" t="s">
        <v>3305</v>
      </c>
      <c r="O693" t="s">
        <v>3306</v>
      </c>
      <c r="P693" t="s">
        <v>3307</v>
      </c>
    </row>
    <row r="694" spans="1:16" x14ac:dyDescent="0.45">
      <c r="A694" t="s">
        <v>3308</v>
      </c>
      <c r="B694">
        <v>45</v>
      </c>
      <c r="C694" t="s">
        <v>83</v>
      </c>
      <c r="D694" t="s">
        <v>33</v>
      </c>
      <c r="E694">
        <v>2746.56</v>
      </c>
      <c r="F694">
        <v>3714.98</v>
      </c>
      <c r="G694" t="s">
        <v>19</v>
      </c>
      <c r="H694" s="1">
        <v>45435</v>
      </c>
      <c r="I694" s="1">
        <v>45507</v>
      </c>
      <c r="J694" t="s">
        <v>3309</v>
      </c>
      <c r="K694" t="s">
        <v>21</v>
      </c>
      <c r="L694" t="s">
        <v>36</v>
      </c>
      <c r="M694">
        <v>0.62</v>
      </c>
      <c r="N694" t="s">
        <v>3310</v>
      </c>
      <c r="O694">
        <f>61-453-159-156</f>
        <v>-707</v>
      </c>
      <c r="P694" t="s">
        <v>3311</v>
      </c>
    </row>
    <row r="695" spans="1:16" x14ac:dyDescent="0.45">
      <c r="A695" t="s">
        <v>3312</v>
      </c>
      <c r="B695">
        <v>47</v>
      </c>
      <c r="C695" t="s">
        <v>55</v>
      </c>
      <c r="D695" t="s">
        <v>84</v>
      </c>
      <c r="E695">
        <v>2729.17</v>
      </c>
      <c r="F695">
        <v>16093.94</v>
      </c>
      <c r="G695" t="s">
        <v>104</v>
      </c>
      <c r="H695" s="1">
        <v>45300</v>
      </c>
      <c r="I695" s="1">
        <v>45508</v>
      </c>
      <c r="J695" t="s">
        <v>3313</v>
      </c>
      <c r="K695" t="s">
        <v>28</v>
      </c>
      <c r="L695" t="s">
        <v>36</v>
      </c>
      <c r="M695">
        <v>0.4</v>
      </c>
      <c r="N695" t="s">
        <v>3314</v>
      </c>
      <c r="O695" t="s">
        <v>3315</v>
      </c>
      <c r="P695" t="s">
        <v>3316</v>
      </c>
    </row>
    <row r="696" spans="1:16" x14ac:dyDescent="0.45">
      <c r="A696" t="s">
        <v>3317</v>
      </c>
      <c r="B696">
        <v>34</v>
      </c>
      <c r="C696" t="s">
        <v>26</v>
      </c>
      <c r="D696" t="s">
        <v>33</v>
      </c>
      <c r="E696">
        <v>2434.5500000000002</v>
      </c>
      <c r="F696">
        <v>3051.42</v>
      </c>
      <c r="G696" t="s">
        <v>19</v>
      </c>
      <c r="H696" s="1">
        <v>44823</v>
      </c>
      <c r="I696" s="1">
        <v>45561</v>
      </c>
      <c r="J696" t="s">
        <v>3318</v>
      </c>
      <c r="K696" t="s">
        <v>50</v>
      </c>
      <c r="L696" t="s">
        <v>43</v>
      </c>
      <c r="M696">
        <v>0.24</v>
      </c>
      <c r="N696" t="s">
        <v>3319</v>
      </c>
      <c r="O696" t="s">
        <v>3320</v>
      </c>
      <c r="P696" t="s">
        <v>3321</v>
      </c>
    </row>
    <row r="697" spans="1:16" x14ac:dyDescent="0.45">
      <c r="A697" t="s">
        <v>3322</v>
      </c>
      <c r="B697">
        <v>73</v>
      </c>
      <c r="C697" t="s">
        <v>83</v>
      </c>
      <c r="D697" t="s">
        <v>41</v>
      </c>
      <c r="E697">
        <v>1667.77</v>
      </c>
      <c r="F697">
        <v>13952.56</v>
      </c>
      <c r="G697" t="s">
        <v>19</v>
      </c>
      <c r="H697" s="1">
        <v>45221</v>
      </c>
      <c r="I697" s="1">
        <v>45702</v>
      </c>
      <c r="J697" t="s">
        <v>3323</v>
      </c>
      <c r="K697" t="s">
        <v>28</v>
      </c>
      <c r="L697" t="s">
        <v>36</v>
      </c>
      <c r="M697">
        <v>0.01</v>
      </c>
      <c r="N697" t="s">
        <v>3324</v>
      </c>
      <c r="O697">
        <v>51406389</v>
      </c>
      <c r="P697" t="s">
        <v>3325</v>
      </c>
    </row>
    <row r="698" spans="1:16" x14ac:dyDescent="0.45">
      <c r="A698" t="s">
        <v>3326</v>
      </c>
      <c r="B698">
        <v>53</v>
      </c>
      <c r="C698" t="s">
        <v>83</v>
      </c>
      <c r="D698" t="s">
        <v>67</v>
      </c>
      <c r="E698">
        <v>3791.47</v>
      </c>
      <c r="F698">
        <v>19257.36</v>
      </c>
      <c r="G698" t="s">
        <v>104</v>
      </c>
      <c r="H698" s="1">
        <v>45407</v>
      </c>
      <c r="I698" s="1">
        <v>45480</v>
      </c>
      <c r="J698" t="s">
        <v>3327</v>
      </c>
      <c r="K698" t="s">
        <v>50</v>
      </c>
      <c r="L698" t="s">
        <v>36</v>
      </c>
      <c r="M698">
        <v>7.0000000000000007E-2</v>
      </c>
      <c r="N698" t="s">
        <v>3328</v>
      </c>
      <c r="O698" t="s">
        <v>3329</v>
      </c>
      <c r="P698" t="s">
        <v>3330</v>
      </c>
    </row>
    <row r="699" spans="1:16" x14ac:dyDescent="0.45">
      <c r="A699" t="s">
        <v>3331</v>
      </c>
      <c r="B699">
        <v>29</v>
      </c>
      <c r="C699" t="s">
        <v>26</v>
      </c>
      <c r="D699" t="s">
        <v>33</v>
      </c>
      <c r="E699">
        <v>1073.17</v>
      </c>
      <c r="F699">
        <v>9549.98</v>
      </c>
      <c r="G699" t="s">
        <v>19</v>
      </c>
      <c r="H699" s="1">
        <v>44832</v>
      </c>
      <c r="I699" s="1">
        <v>45133</v>
      </c>
      <c r="J699" t="s">
        <v>3332</v>
      </c>
      <c r="K699" t="s">
        <v>35</v>
      </c>
      <c r="L699" t="s">
        <v>43</v>
      </c>
      <c r="M699">
        <v>0.51</v>
      </c>
      <c r="N699" t="s">
        <v>3333</v>
      </c>
      <c r="O699" t="s">
        <v>3334</v>
      </c>
      <c r="P699" t="s">
        <v>3335</v>
      </c>
    </row>
    <row r="700" spans="1:16" x14ac:dyDescent="0.45">
      <c r="A700" t="s">
        <v>3336</v>
      </c>
      <c r="B700">
        <v>21</v>
      </c>
      <c r="C700" t="s">
        <v>32</v>
      </c>
      <c r="D700" t="s">
        <v>18</v>
      </c>
      <c r="E700">
        <v>1450.81</v>
      </c>
      <c r="F700">
        <v>12604.9</v>
      </c>
      <c r="G700" t="s">
        <v>19</v>
      </c>
      <c r="H700" s="1">
        <v>45080</v>
      </c>
      <c r="I700" s="1">
        <v>45560</v>
      </c>
      <c r="J700" t="s">
        <v>3337</v>
      </c>
      <c r="K700" t="s">
        <v>21</v>
      </c>
      <c r="L700" t="s">
        <v>22</v>
      </c>
      <c r="M700">
        <v>0.96</v>
      </c>
      <c r="N700" t="s">
        <v>3338</v>
      </c>
      <c r="O700" t="s">
        <v>3339</v>
      </c>
      <c r="P700" t="s">
        <v>3340</v>
      </c>
    </row>
    <row r="701" spans="1:16" x14ac:dyDescent="0.45">
      <c r="A701" t="s">
        <v>3341</v>
      </c>
      <c r="B701">
        <v>54</v>
      </c>
      <c r="C701" t="s">
        <v>48</v>
      </c>
      <c r="D701" t="s">
        <v>41</v>
      </c>
      <c r="E701">
        <v>652.72</v>
      </c>
      <c r="F701">
        <v>6361.14</v>
      </c>
      <c r="G701" t="s">
        <v>104</v>
      </c>
      <c r="H701" s="1">
        <v>45022</v>
      </c>
      <c r="I701" s="1">
        <v>45545</v>
      </c>
      <c r="J701" t="s">
        <v>3342</v>
      </c>
      <c r="K701" t="s">
        <v>50</v>
      </c>
      <c r="L701" t="s">
        <v>22</v>
      </c>
      <c r="M701">
        <v>0.74</v>
      </c>
      <c r="N701" t="s">
        <v>3343</v>
      </c>
      <c r="O701" t="s">
        <v>3344</v>
      </c>
      <c r="P701" t="s">
        <v>3345</v>
      </c>
    </row>
    <row r="702" spans="1:16" x14ac:dyDescent="0.45">
      <c r="A702" t="s">
        <v>3346</v>
      </c>
      <c r="B702">
        <v>61</v>
      </c>
      <c r="C702" t="s">
        <v>26</v>
      </c>
      <c r="D702" t="s">
        <v>67</v>
      </c>
      <c r="E702">
        <v>1929.55</v>
      </c>
      <c r="F702">
        <v>1534.18</v>
      </c>
      <c r="G702" t="s">
        <v>19</v>
      </c>
      <c r="H702" s="1">
        <v>44926</v>
      </c>
      <c r="I702" s="1">
        <v>45863</v>
      </c>
      <c r="J702" t="s">
        <v>3347</v>
      </c>
      <c r="K702" t="s">
        <v>35</v>
      </c>
      <c r="L702" t="s">
        <v>43</v>
      </c>
      <c r="M702">
        <v>0.63</v>
      </c>
      <c r="N702" t="s">
        <v>3348</v>
      </c>
      <c r="O702" t="s">
        <v>3349</v>
      </c>
      <c r="P702" t="s">
        <v>3350</v>
      </c>
    </row>
    <row r="703" spans="1:16" x14ac:dyDescent="0.45">
      <c r="A703" t="s">
        <v>3351</v>
      </c>
      <c r="B703">
        <v>33</v>
      </c>
      <c r="C703" t="s">
        <v>83</v>
      </c>
      <c r="D703" t="s">
        <v>33</v>
      </c>
      <c r="E703">
        <v>3530.96</v>
      </c>
      <c r="F703">
        <v>5465.29</v>
      </c>
      <c r="G703" t="s">
        <v>19</v>
      </c>
      <c r="H703" s="1">
        <v>44870</v>
      </c>
      <c r="I703" s="1">
        <v>45523</v>
      </c>
      <c r="J703" t="s">
        <v>3352</v>
      </c>
      <c r="K703" t="s">
        <v>50</v>
      </c>
      <c r="L703" t="s">
        <v>22</v>
      </c>
      <c r="M703">
        <v>0.35</v>
      </c>
      <c r="N703" t="s">
        <v>3353</v>
      </c>
      <c r="O703" t="s">
        <v>3354</v>
      </c>
      <c r="P703" t="s">
        <v>3355</v>
      </c>
    </row>
    <row r="704" spans="1:16" x14ac:dyDescent="0.45">
      <c r="A704" t="s">
        <v>3356</v>
      </c>
      <c r="B704">
        <v>58</v>
      </c>
      <c r="C704" t="s">
        <v>66</v>
      </c>
      <c r="D704" t="s">
        <v>84</v>
      </c>
      <c r="E704">
        <v>626.96</v>
      </c>
      <c r="F704">
        <v>4859.75</v>
      </c>
      <c r="G704" t="s">
        <v>19</v>
      </c>
      <c r="H704" s="1">
        <v>44900</v>
      </c>
      <c r="I704" s="1">
        <v>44971</v>
      </c>
      <c r="J704" t="s">
        <v>3357</v>
      </c>
      <c r="K704" t="s">
        <v>35</v>
      </c>
      <c r="L704" t="s">
        <v>22</v>
      </c>
      <c r="M704">
        <v>0.56999999999999995</v>
      </c>
      <c r="N704" t="s">
        <v>3358</v>
      </c>
      <c r="O704">
        <v>869347996</v>
      </c>
      <c r="P704" t="s">
        <v>3359</v>
      </c>
    </row>
    <row r="705" spans="1:16" x14ac:dyDescent="0.45">
      <c r="A705" t="s">
        <v>3360</v>
      </c>
      <c r="B705">
        <v>56</v>
      </c>
      <c r="C705" t="s">
        <v>32</v>
      </c>
      <c r="D705" t="s">
        <v>33</v>
      </c>
      <c r="E705">
        <v>2822.79</v>
      </c>
      <c r="F705">
        <v>14605.61</v>
      </c>
      <c r="G705" t="s">
        <v>19</v>
      </c>
      <c r="H705" s="1">
        <v>45164</v>
      </c>
      <c r="I705" s="1">
        <v>45687</v>
      </c>
      <c r="J705" t="s">
        <v>3361</v>
      </c>
      <c r="K705" t="s">
        <v>21</v>
      </c>
      <c r="L705" t="s">
        <v>36</v>
      </c>
      <c r="M705">
        <v>0.73</v>
      </c>
      <c r="N705" t="s">
        <v>3362</v>
      </c>
      <c r="O705" t="s">
        <v>3363</v>
      </c>
      <c r="P705" t="s">
        <v>3364</v>
      </c>
    </row>
    <row r="706" spans="1:16" x14ac:dyDescent="0.45">
      <c r="A706" t="s">
        <v>3365</v>
      </c>
      <c r="B706">
        <v>21</v>
      </c>
      <c r="C706" t="s">
        <v>55</v>
      </c>
      <c r="D706" t="s">
        <v>84</v>
      </c>
      <c r="E706">
        <v>4458.74</v>
      </c>
      <c r="F706">
        <v>17452.060000000001</v>
      </c>
      <c r="G706" t="s">
        <v>19</v>
      </c>
      <c r="H706" s="1">
        <v>45328</v>
      </c>
      <c r="I706" s="1">
        <v>45867</v>
      </c>
      <c r="J706" t="s">
        <v>3366</v>
      </c>
      <c r="K706" t="s">
        <v>50</v>
      </c>
      <c r="L706" t="s">
        <v>22</v>
      </c>
      <c r="M706">
        <v>0.52</v>
      </c>
      <c r="N706" t="s">
        <v>3367</v>
      </c>
      <c r="O706" t="s">
        <v>3368</v>
      </c>
      <c r="P706" t="s">
        <v>3369</v>
      </c>
    </row>
    <row r="707" spans="1:16" x14ac:dyDescent="0.45">
      <c r="A707" t="s">
        <v>3370</v>
      </c>
      <c r="B707">
        <v>35</v>
      </c>
      <c r="C707" t="s">
        <v>66</v>
      </c>
      <c r="D707" t="s">
        <v>84</v>
      </c>
      <c r="E707">
        <v>1860.18</v>
      </c>
      <c r="F707">
        <v>3567.29</v>
      </c>
      <c r="G707" t="s">
        <v>19</v>
      </c>
      <c r="H707" s="1">
        <v>45259</v>
      </c>
      <c r="I707" s="1">
        <v>45425</v>
      </c>
      <c r="J707" t="s">
        <v>3371</v>
      </c>
      <c r="K707" t="s">
        <v>50</v>
      </c>
      <c r="L707" t="s">
        <v>36</v>
      </c>
      <c r="M707">
        <v>0.61</v>
      </c>
      <c r="N707" t="s">
        <v>3372</v>
      </c>
      <c r="O707">
        <v>719293307</v>
      </c>
      <c r="P707" t="s">
        <v>3373</v>
      </c>
    </row>
    <row r="708" spans="1:16" x14ac:dyDescent="0.45">
      <c r="A708" t="s">
        <v>3374</v>
      </c>
      <c r="B708">
        <v>22</v>
      </c>
      <c r="C708" t="s">
        <v>83</v>
      </c>
      <c r="D708" t="s">
        <v>41</v>
      </c>
      <c r="E708">
        <v>801.96</v>
      </c>
      <c r="F708">
        <v>12926.6</v>
      </c>
      <c r="G708" t="s">
        <v>85</v>
      </c>
      <c r="H708" s="1">
        <v>45456</v>
      </c>
      <c r="I708" s="1">
        <v>45747</v>
      </c>
      <c r="J708" t="s">
        <v>3375</v>
      </c>
      <c r="K708" t="s">
        <v>21</v>
      </c>
      <c r="L708" t="s">
        <v>36</v>
      </c>
      <c r="M708">
        <v>0.47</v>
      </c>
      <c r="N708" t="s">
        <v>3376</v>
      </c>
      <c r="O708">
        <v>806654086</v>
      </c>
      <c r="P708" t="s">
        <v>3377</v>
      </c>
    </row>
    <row r="709" spans="1:16" x14ac:dyDescent="0.45">
      <c r="A709" t="s">
        <v>3378</v>
      </c>
      <c r="B709">
        <v>38</v>
      </c>
      <c r="C709" t="s">
        <v>55</v>
      </c>
      <c r="D709" t="s">
        <v>33</v>
      </c>
      <c r="E709">
        <v>2562.4899999999998</v>
      </c>
      <c r="F709">
        <v>7639.04</v>
      </c>
      <c r="G709" t="s">
        <v>85</v>
      </c>
      <c r="H709" s="1">
        <v>44873</v>
      </c>
      <c r="I709" s="1">
        <v>45173</v>
      </c>
      <c r="J709" t="s">
        <v>3379</v>
      </c>
      <c r="K709" t="s">
        <v>35</v>
      </c>
      <c r="L709" t="s">
        <v>43</v>
      </c>
      <c r="M709">
        <v>0.34</v>
      </c>
      <c r="N709" t="s">
        <v>3380</v>
      </c>
      <c r="O709">
        <f>61-431-806-303</f>
        <v>-1479</v>
      </c>
      <c r="P709" t="s">
        <v>3381</v>
      </c>
    </row>
    <row r="710" spans="1:16" x14ac:dyDescent="0.45">
      <c r="A710" t="s">
        <v>3382</v>
      </c>
      <c r="B710">
        <v>36</v>
      </c>
      <c r="C710" t="s">
        <v>17</v>
      </c>
      <c r="D710" t="s">
        <v>33</v>
      </c>
      <c r="E710">
        <v>2196.1999999999998</v>
      </c>
      <c r="F710">
        <v>7064.8</v>
      </c>
      <c r="G710" t="s">
        <v>85</v>
      </c>
      <c r="H710" s="1">
        <v>45190</v>
      </c>
      <c r="I710" s="1">
        <v>45219</v>
      </c>
      <c r="J710" t="s">
        <v>3383</v>
      </c>
      <c r="K710" t="s">
        <v>21</v>
      </c>
      <c r="L710" t="s">
        <v>36</v>
      </c>
      <c r="M710">
        <v>0.21</v>
      </c>
      <c r="N710" t="s">
        <v>3384</v>
      </c>
      <c r="O710" t="s">
        <v>3385</v>
      </c>
      <c r="P710" t="s">
        <v>3386</v>
      </c>
    </row>
    <row r="711" spans="1:16" x14ac:dyDescent="0.45">
      <c r="A711" t="s">
        <v>3387</v>
      </c>
      <c r="B711">
        <v>48</v>
      </c>
      <c r="C711" t="s">
        <v>66</v>
      </c>
      <c r="D711" t="s">
        <v>33</v>
      </c>
      <c r="E711">
        <v>2840.23</v>
      </c>
      <c r="F711">
        <v>10847.16</v>
      </c>
      <c r="G711" t="s">
        <v>19</v>
      </c>
      <c r="H711" s="1">
        <v>44784</v>
      </c>
      <c r="I711" s="1">
        <v>45137</v>
      </c>
      <c r="J711" t="s">
        <v>3388</v>
      </c>
      <c r="K711" t="s">
        <v>28</v>
      </c>
      <c r="L711" t="s">
        <v>22</v>
      </c>
      <c r="M711">
        <v>0.68</v>
      </c>
      <c r="N711" t="s">
        <v>3389</v>
      </c>
      <c r="O711">
        <f>61-7-2182-4480</f>
        <v>-6608</v>
      </c>
      <c r="P711" t="s">
        <v>3390</v>
      </c>
    </row>
    <row r="712" spans="1:16" x14ac:dyDescent="0.45">
      <c r="A712" t="s">
        <v>3391</v>
      </c>
      <c r="B712">
        <v>73</v>
      </c>
      <c r="C712" t="s">
        <v>66</v>
      </c>
      <c r="D712" t="s">
        <v>41</v>
      </c>
      <c r="E712">
        <v>4718.38</v>
      </c>
      <c r="F712">
        <v>4943.28</v>
      </c>
      <c r="G712" t="s">
        <v>19</v>
      </c>
      <c r="H712" s="1">
        <v>44907</v>
      </c>
      <c r="I712" s="1">
        <v>44913</v>
      </c>
      <c r="J712" t="s">
        <v>3392</v>
      </c>
      <c r="K712" t="s">
        <v>21</v>
      </c>
      <c r="L712" t="s">
        <v>36</v>
      </c>
      <c r="M712">
        <v>0.5</v>
      </c>
      <c r="N712" t="s">
        <v>3393</v>
      </c>
      <c r="O712" t="s">
        <v>3394</v>
      </c>
      <c r="P712" t="s">
        <v>3395</v>
      </c>
    </row>
    <row r="713" spans="1:16" x14ac:dyDescent="0.45">
      <c r="A713" t="s">
        <v>3396</v>
      </c>
      <c r="B713">
        <v>36</v>
      </c>
      <c r="C713" t="s">
        <v>66</v>
      </c>
      <c r="D713" t="s">
        <v>18</v>
      </c>
      <c r="E713">
        <v>4424.71</v>
      </c>
      <c r="F713">
        <v>26.52</v>
      </c>
      <c r="G713" t="s">
        <v>85</v>
      </c>
      <c r="H713" s="1">
        <v>45439</v>
      </c>
      <c r="I713" s="1">
        <v>45523</v>
      </c>
      <c r="J713" t="s">
        <v>3397</v>
      </c>
      <c r="K713" t="s">
        <v>28</v>
      </c>
      <c r="L713" t="s">
        <v>36</v>
      </c>
      <c r="M713">
        <v>0.8</v>
      </c>
      <c r="N713" t="s">
        <v>3398</v>
      </c>
      <c r="O713">
        <v>752422638</v>
      </c>
      <c r="P713" t="s">
        <v>3399</v>
      </c>
    </row>
    <row r="714" spans="1:16" x14ac:dyDescent="0.45">
      <c r="A714" t="s">
        <v>3400</v>
      </c>
      <c r="B714">
        <v>20</v>
      </c>
      <c r="C714" t="s">
        <v>32</v>
      </c>
      <c r="D714" t="s">
        <v>41</v>
      </c>
      <c r="E714">
        <v>2606.4899999999998</v>
      </c>
      <c r="F714">
        <v>2031.67</v>
      </c>
      <c r="G714" t="s">
        <v>104</v>
      </c>
      <c r="H714" s="1">
        <v>44883</v>
      </c>
      <c r="I714" s="1">
        <v>45237</v>
      </c>
      <c r="J714" t="s">
        <v>3401</v>
      </c>
      <c r="K714" t="s">
        <v>50</v>
      </c>
      <c r="L714" t="s">
        <v>22</v>
      </c>
      <c r="M714">
        <v>0.39</v>
      </c>
      <c r="N714" t="s">
        <v>3402</v>
      </c>
      <c r="O714">
        <v>84069790</v>
      </c>
      <c r="P714" t="s">
        <v>3403</v>
      </c>
    </row>
    <row r="715" spans="1:16" x14ac:dyDescent="0.45">
      <c r="A715" t="s">
        <v>3404</v>
      </c>
      <c r="B715">
        <v>56</v>
      </c>
      <c r="C715" t="s">
        <v>32</v>
      </c>
      <c r="D715" t="s">
        <v>33</v>
      </c>
      <c r="E715">
        <v>4837.5</v>
      </c>
      <c r="F715">
        <v>11082.65</v>
      </c>
      <c r="G715" t="s">
        <v>19</v>
      </c>
      <c r="H715" s="1">
        <v>45052</v>
      </c>
      <c r="I715" s="1">
        <v>45327</v>
      </c>
      <c r="J715" t="s">
        <v>3405</v>
      </c>
      <c r="K715" t="s">
        <v>50</v>
      </c>
      <c r="L715" t="s">
        <v>22</v>
      </c>
      <c r="M715">
        <v>0.72</v>
      </c>
      <c r="N715" t="s">
        <v>3406</v>
      </c>
      <c r="O715" t="s">
        <v>3407</v>
      </c>
      <c r="P715" t="s">
        <v>3408</v>
      </c>
    </row>
    <row r="716" spans="1:16" x14ac:dyDescent="0.45">
      <c r="A716" t="s">
        <v>3409</v>
      </c>
      <c r="B716">
        <v>46</v>
      </c>
      <c r="C716" t="s">
        <v>66</v>
      </c>
      <c r="D716" t="s">
        <v>84</v>
      </c>
      <c r="E716">
        <v>949.91</v>
      </c>
      <c r="F716">
        <v>10414.43</v>
      </c>
      <c r="G716" t="s">
        <v>19</v>
      </c>
      <c r="H716" s="1">
        <v>45112</v>
      </c>
      <c r="I716" s="1">
        <v>45148</v>
      </c>
      <c r="J716" t="s">
        <v>3410</v>
      </c>
      <c r="K716" t="s">
        <v>50</v>
      </c>
      <c r="L716" t="s">
        <v>36</v>
      </c>
      <c r="M716">
        <v>0.89</v>
      </c>
      <c r="N716" t="s">
        <v>3411</v>
      </c>
      <c r="O716">
        <v>5828.2924999999996</v>
      </c>
      <c r="P716" t="s">
        <v>3412</v>
      </c>
    </row>
    <row r="717" spans="1:16" x14ac:dyDescent="0.45">
      <c r="A717" t="s">
        <v>3413</v>
      </c>
      <c r="B717">
        <v>34</v>
      </c>
      <c r="C717" t="s">
        <v>26</v>
      </c>
      <c r="D717" t="s">
        <v>84</v>
      </c>
      <c r="E717">
        <v>412.73</v>
      </c>
      <c r="F717">
        <v>9950.1200000000008</v>
      </c>
      <c r="G717" t="s">
        <v>104</v>
      </c>
      <c r="H717" s="1">
        <v>44790</v>
      </c>
      <c r="I717" s="1">
        <v>45191</v>
      </c>
      <c r="J717" t="s">
        <v>3414</v>
      </c>
      <c r="K717" t="s">
        <v>28</v>
      </c>
      <c r="L717" t="s">
        <v>43</v>
      </c>
      <c r="M717">
        <v>0.37</v>
      </c>
      <c r="N717" t="s">
        <v>3415</v>
      </c>
      <c r="O717" t="s">
        <v>3416</v>
      </c>
      <c r="P717" t="s">
        <v>3417</v>
      </c>
    </row>
    <row r="718" spans="1:16" x14ac:dyDescent="0.45">
      <c r="A718" t="s">
        <v>3418</v>
      </c>
      <c r="B718">
        <v>58</v>
      </c>
      <c r="C718" t="s">
        <v>17</v>
      </c>
      <c r="D718" t="s">
        <v>41</v>
      </c>
      <c r="E718">
        <v>2194.12</v>
      </c>
      <c r="F718">
        <v>19506.830000000002</v>
      </c>
      <c r="G718" t="s">
        <v>85</v>
      </c>
      <c r="H718" s="1">
        <v>45378</v>
      </c>
      <c r="I718" s="1">
        <v>45465</v>
      </c>
      <c r="J718" t="s">
        <v>3419</v>
      </c>
      <c r="K718" t="s">
        <v>35</v>
      </c>
      <c r="L718" t="s">
        <v>22</v>
      </c>
      <c r="M718">
        <v>0.87</v>
      </c>
      <c r="N718" t="s">
        <v>3420</v>
      </c>
      <c r="O718" t="s">
        <v>3421</v>
      </c>
      <c r="P718" t="s">
        <v>3422</v>
      </c>
    </row>
    <row r="719" spans="1:16" x14ac:dyDescent="0.45">
      <c r="A719" t="s">
        <v>3423</v>
      </c>
      <c r="B719">
        <v>30</v>
      </c>
      <c r="C719" t="s">
        <v>55</v>
      </c>
      <c r="D719" t="s">
        <v>41</v>
      </c>
      <c r="E719">
        <v>1696.34</v>
      </c>
      <c r="F719">
        <v>3503.48</v>
      </c>
      <c r="G719" t="s">
        <v>19</v>
      </c>
      <c r="H719" s="1">
        <v>44880</v>
      </c>
      <c r="I719" s="1">
        <v>45379</v>
      </c>
      <c r="J719" t="s">
        <v>3424</v>
      </c>
      <c r="K719" t="s">
        <v>35</v>
      </c>
      <c r="L719" t="s">
        <v>36</v>
      </c>
      <c r="M719">
        <v>0.97</v>
      </c>
      <c r="N719" t="s">
        <v>3425</v>
      </c>
      <c r="O719">
        <v>859340222</v>
      </c>
      <c r="P719" t="s">
        <v>3426</v>
      </c>
    </row>
    <row r="720" spans="1:16" x14ac:dyDescent="0.45">
      <c r="A720" t="s">
        <v>3427</v>
      </c>
      <c r="B720">
        <v>23</v>
      </c>
      <c r="C720" t="s">
        <v>66</v>
      </c>
      <c r="D720" t="s">
        <v>33</v>
      </c>
      <c r="E720">
        <v>1564.87</v>
      </c>
      <c r="F720">
        <v>15152.82</v>
      </c>
      <c r="G720" t="s">
        <v>19</v>
      </c>
      <c r="H720" s="1">
        <v>44923</v>
      </c>
      <c r="I720" s="1">
        <v>45283</v>
      </c>
      <c r="J720" t="s">
        <v>3428</v>
      </c>
      <c r="K720" t="s">
        <v>21</v>
      </c>
      <c r="L720" t="s">
        <v>22</v>
      </c>
      <c r="M720">
        <v>0.28999999999999998</v>
      </c>
      <c r="N720" t="s">
        <v>3429</v>
      </c>
      <c r="O720" t="s">
        <v>3430</v>
      </c>
      <c r="P720" t="s">
        <v>3431</v>
      </c>
    </row>
    <row r="721" spans="1:16" x14ac:dyDescent="0.45">
      <c r="A721" t="s">
        <v>3432</v>
      </c>
      <c r="B721">
        <v>67</v>
      </c>
      <c r="C721" t="s">
        <v>17</v>
      </c>
      <c r="D721" t="s">
        <v>67</v>
      </c>
      <c r="E721">
        <v>2121.1999999999998</v>
      </c>
      <c r="F721">
        <v>12717.51</v>
      </c>
      <c r="G721" t="s">
        <v>85</v>
      </c>
      <c r="H721" s="1">
        <v>44917</v>
      </c>
      <c r="I721" s="1">
        <v>45083</v>
      </c>
      <c r="J721" t="s">
        <v>3433</v>
      </c>
      <c r="K721" t="s">
        <v>28</v>
      </c>
      <c r="L721" t="s">
        <v>43</v>
      </c>
      <c r="M721">
        <v>0.68</v>
      </c>
      <c r="N721" t="s">
        <v>3434</v>
      </c>
      <c r="O721" t="s">
        <v>3435</v>
      </c>
      <c r="P721" t="s">
        <v>3436</v>
      </c>
    </row>
    <row r="722" spans="1:16" x14ac:dyDescent="0.45">
      <c r="A722" t="s">
        <v>3437</v>
      </c>
      <c r="B722">
        <v>52</v>
      </c>
      <c r="C722" t="s">
        <v>66</v>
      </c>
      <c r="D722" t="s">
        <v>67</v>
      </c>
      <c r="E722">
        <v>2770.18</v>
      </c>
      <c r="F722">
        <v>5765.41</v>
      </c>
      <c r="G722" t="s">
        <v>85</v>
      </c>
      <c r="H722" s="1">
        <v>45386</v>
      </c>
      <c r="I722" s="1">
        <v>45862</v>
      </c>
      <c r="J722" t="s">
        <v>3438</v>
      </c>
      <c r="K722" t="s">
        <v>28</v>
      </c>
      <c r="L722" t="s">
        <v>22</v>
      </c>
      <c r="M722">
        <v>0.78</v>
      </c>
      <c r="N722" t="s">
        <v>3439</v>
      </c>
      <c r="O722" t="s">
        <v>3440</v>
      </c>
      <c r="P722" t="s">
        <v>3441</v>
      </c>
    </row>
    <row r="723" spans="1:16" x14ac:dyDescent="0.45">
      <c r="A723" t="s">
        <v>3442</v>
      </c>
      <c r="B723">
        <v>43</v>
      </c>
      <c r="C723" t="s">
        <v>66</v>
      </c>
      <c r="D723" t="s">
        <v>18</v>
      </c>
      <c r="E723">
        <v>851.53</v>
      </c>
      <c r="F723">
        <v>13911.22</v>
      </c>
      <c r="G723" t="s">
        <v>19</v>
      </c>
      <c r="H723" s="1">
        <v>45477</v>
      </c>
      <c r="I723" s="1">
        <v>45524</v>
      </c>
      <c r="J723" t="s">
        <v>3443</v>
      </c>
      <c r="K723" t="s">
        <v>28</v>
      </c>
      <c r="L723" t="s">
        <v>36</v>
      </c>
      <c r="M723">
        <v>0.34</v>
      </c>
      <c r="N723" t="s">
        <v>3444</v>
      </c>
      <c r="O723" t="s">
        <v>3445</v>
      </c>
      <c r="P723" t="s">
        <v>3446</v>
      </c>
    </row>
    <row r="724" spans="1:16" x14ac:dyDescent="0.45">
      <c r="A724" t="s">
        <v>3447</v>
      </c>
      <c r="B724">
        <v>63</v>
      </c>
      <c r="C724" t="s">
        <v>55</v>
      </c>
      <c r="D724" t="s">
        <v>84</v>
      </c>
      <c r="E724">
        <v>2104.5700000000002</v>
      </c>
      <c r="F724">
        <v>1900.04</v>
      </c>
      <c r="G724" t="s">
        <v>19</v>
      </c>
      <c r="H724" s="1">
        <v>45058</v>
      </c>
      <c r="I724" s="1">
        <v>45665</v>
      </c>
      <c r="J724" t="s">
        <v>3448</v>
      </c>
      <c r="K724" t="s">
        <v>28</v>
      </c>
      <c r="L724" t="s">
        <v>22</v>
      </c>
      <c r="M724">
        <v>0.05</v>
      </c>
      <c r="N724" t="s">
        <v>3449</v>
      </c>
      <c r="O724">
        <v>575.74580000000003</v>
      </c>
      <c r="P724" t="s">
        <v>3450</v>
      </c>
    </row>
    <row r="725" spans="1:16" x14ac:dyDescent="0.45">
      <c r="A725" t="s">
        <v>3451</v>
      </c>
      <c r="B725">
        <v>25</v>
      </c>
      <c r="C725" t="s">
        <v>17</v>
      </c>
      <c r="D725" t="s">
        <v>84</v>
      </c>
      <c r="E725">
        <v>3880.22</v>
      </c>
      <c r="F725">
        <v>3627.49</v>
      </c>
      <c r="G725" t="s">
        <v>19</v>
      </c>
      <c r="H725" s="1">
        <v>45397</v>
      </c>
      <c r="I725" s="1">
        <v>45493</v>
      </c>
      <c r="J725" t="s">
        <v>3452</v>
      </c>
      <c r="K725" t="s">
        <v>35</v>
      </c>
      <c r="L725" t="s">
        <v>22</v>
      </c>
      <c r="M725">
        <v>0.51</v>
      </c>
      <c r="N725" t="s">
        <v>3453</v>
      </c>
      <c r="O725">
        <v>824403709</v>
      </c>
      <c r="P725" t="s">
        <v>3454</v>
      </c>
    </row>
    <row r="726" spans="1:16" x14ac:dyDescent="0.45">
      <c r="A726" t="s">
        <v>3455</v>
      </c>
      <c r="B726">
        <v>39</v>
      </c>
      <c r="C726" t="s">
        <v>48</v>
      </c>
      <c r="D726" t="s">
        <v>18</v>
      </c>
      <c r="E726">
        <v>4966.03</v>
      </c>
      <c r="F726">
        <v>5161.34</v>
      </c>
      <c r="G726" t="s">
        <v>19</v>
      </c>
      <c r="H726" s="1">
        <v>45010</v>
      </c>
      <c r="I726" s="1">
        <v>45695</v>
      </c>
      <c r="J726" t="s">
        <v>3456</v>
      </c>
      <c r="K726" t="s">
        <v>28</v>
      </c>
      <c r="L726" t="s">
        <v>22</v>
      </c>
      <c r="M726">
        <v>0.84</v>
      </c>
      <c r="N726" t="s">
        <v>3457</v>
      </c>
      <c r="O726" t="s">
        <v>3458</v>
      </c>
      <c r="P726" t="s">
        <v>3459</v>
      </c>
    </row>
    <row r="727" spans="1:16" x14ac:dyDescent="0.45">
      <c r="A727" t="s">
        <v>3460</v>
      </c>
      <c r="B727">
        <v>30</v>
      </c>
      <c r="C727" t="s">
        <v>17</v>
      </c>
      <c r="D727" t="s">
        <v>41</v>
      </c>
      <c r="E727">
        <v>1371.11</v>
      </c>
      <c r="F727">
        <v>5743.73</v>
      </c>
      <c r="G727" t="s">
        <v>19</v>
      </c>
      <c r="H727" s="1">
        <v>44890</v>
      </c>
      <c r="I727" s="1">
        <v>45634</v>
      </c>
      <c r="J727" t="s">
        <v>3461</v>
      </c>
      <c r="K727" t="s">
        <v>21</v>
      </c>
      <c r="L727" t="s">
        <v>22</v>
      </c>
      <c r="M727">
        <v>0.91</v>
      </c>
      <c r="N727" t="s">
        <v>3462</v>
      </c>
      <c r="O727">
        <f>61-2-8585-28</f>
        <v>-8554</v>
      </c>
      <c r="P727" t="s">
        <v>3463</v>
      </c>
    </row>
    <row r="728" spans="1:16" x14ac:dyDescent="0.45">
      <c r="A728" t="s">
        <v>3464</v>
      </c>
      <c r="B728">
        <v>40</v>
      </c>
      <c r="C728" t="s">
        <v>83</v>
      </c>
      <c r="D728" t="s">
        <v>33</v>
      </c>
      <c r="E728">
        <v>1126.57</v>
      </c>
      <c r="F728">
        <v>7417.05</v>
      </c>
      <c r="G728" t="s">
        <v>19</v>
      </c>
      <c r="H728" s="1">
        <v>45218</v>
      </c>
      <c r="I728" s="1">
        <v>45843</v>
      </c>
      <c r="J728" t="s">
        <v>3465</v>
      </c>
      <c r="K728" t="s">
        <v>28</v>
      </c>
      <c r="L728" t="s">
        <v>22</v>
      </c>
      <c r="M728">
        <v>0.94</v>
      </c>
      <c r="N728" t="s">
        <v>3466</v>
      </c>
      <c r="O728" t="s">
        <v>3467</v>
      </c>
      <c r="P728" t="s">
        <v>3468</v>
      </c>
    </row>
    <row r="729" spans="1:16" x14ac:dyDescent="0.45">
      <c r="A729" t="s">
        <v>3469</v>
      </c>
      <c r="B729">
        <v>58</v>
      </c>
      <c r="C729" t="s">
        <v>17</v>
      </c>
      <c r="D729" t="s">
        <v>67</v>
      </c>
      <c r="E729">
        <v>4133.58</v>
      </c>
      <c r="F729">
        <v>13194.81</v>
      </c>
      <c r="G729" t="s">
        <v>19</v>
      </c>
      <c r="H729" s="1">
        <v>45034</v>
      </c>
      <c r="I729" s="1">
        <v>45283</v>
      </c>
      <c r="J729" t="s">
        <v>3470</v>
      </c>
      <c r="K729" t="s">
        <v>28</v>
      </c>
      <c r="L729" t="s">
        <v>22</v>
      </c>
      <c r="M729">
        <v>0.91</v>
      </c>
      <c r="N729" t="s">
        <v>3471</v>
      </c>
      <c r="O729">
        <f>61-437-316-780</f>
        <v>-1472</v>
      </c>
      <c r="P729" t="s">
        <v>3472</v>
      </c>
    </row>
    <row r="730" spans="1:16" x14ac:dyDescent="0.45">
      <c r="A730" t="s">
        <v>3473</v>
      </c>
      <c r="B730">
        <v>68</v>
      </c>
      <c r="C730" t="s">
        <v>32</v>
      </c>
      <c r="D730" t="s">
        <v>41</v>
      </c>
      <c r="E730">
        <v>4447.74</v>
      </c>
      <c r="F730">
        <v>6057.34</v>
      </c>
      <c r="G730" t="s">
        <v>19</v>
      </c>
      <c r="H730" s="1">
        <v>44814</v>
      </c>
      <c r="I730" s="1">
        <v>45838</v>
      </c>
      <c r="J730" t="s">
        <v>3474</v>
      </c>
      <c r="K730" t="s">
        <v>28</v>
      </c>
      <c r="L730" t="s">
        <v>22</v>
      </c>
      <c r="M730">
        <v>0.11</v>
      </c>
      <c r="N730" t="s">
        <v>3475</v>
      </c>
      <c r="O730">
        <v>395906414</v>
      </c>
      <c r="P730" t="s">
        <v>3476</v>
      </c>
    </row>
    <row r="731" spans="1:16" x14ac:dyDescent="0.45">
      <c r="A731" t="s">
        <v>3477</v>
      </c>
      <c r="B731">
        <v>41</v>
      </c>
      <c r="C731" t="s">
        <v>83</v>
      </c>
      <c r="D731" t="s">
        <v>18</v>
      </c>
      <c r="E731">
        <v>1444.83</v>
      </c>
      <c r="F731">
        <v>894.47</v>
      </c>
      <c r="G731" t="s">
        <v>104</v>
      </c>
      <c r="H731" s="1">
        <v>44941</v>
      </c>
      <c r="I731" s="1">
        <v>45675</v>
      </c>
      <c r="J731" t="s">
        <v>3478</v>
      </c>
      <c r="K731" t="s">
        <v>28</v>
      </c>
      <c r="L731" t="s">
        <v>43</v>
      </c>
      <c r="M731">
        <v>0.4</v>
      </c>
      <c r="N731" t="s">
        <v>3479</v>
      </c>
      <c r="O731" t="s">
        <v>3480</v>
      </c>
      <c r="P731" t="s">
        <v>3481</v>
      </c>
    </row>
    <row r="732" spans="1:16" x14ac:dyDescent="0.45">
      <c r="A732" t="s">
        <v>3482</v>
      </c>
      <c r="B732">
        <v>19</v>
      </c>
      <c r="C732" t="s">
        <v>17</v>
      </c>
      <c r="D732" t="s">
        <v>41</v>
      </c>
      <c r="E732">
        <v>3869.55</v>
      </c>
      <c r="F732">
        <v>7304.5</v>
      </c>
      <c r="G732" t="s">
        <v>19</v>
      </c>
      <c r="H732" s="1">
        <v>44878</v>
      </c>
      <c r="I732" s="1">
        <v>45125</v>
      </c>
      <c r="J732" t="s">
        <v>3483</v>
      </c>
      <c r="K732" t="s">
        <v>21</v>
      </c>
      <c r="L732" t="s">
        <v>43</v>
      </c>
      <c r="M732">
        <v>0.87</v>
      </c>
      <c r="N732" t="s">
        <v>3484</v>
      </c>
      <c r="O732">
        <v>632.22910000000002</v>
      </c>
      <c r="P732" t="s">
        <v>3485</v>
      </c>
    </row>
    <row r="733" spans="1:16" x14ac:dyDescent="0.45">
      <c r="A733" t="s">
        <v>3486</v>
      </c>
      <c r="B733">
        <v>75</v>
      </c>
      <c r="C733" t="s">
        <v>32</v>
      </c>
      <c r="D733" t="s">
        <v>33</v>
      </c>
      <c r="E733">
        <v>1463.66</v>
      </c>
      <c r="F733">
        <v>11156.82</v>
      </c>
      <c r="G733" t="s">
        <v>19</v>
      </c>
      <c r="H733" s="1">
        <v>45126</v>
      </c>
      <c r="I733" s="1">
        <v>45662</v>
      </c>
      <c r="J733" t="s">
        <v>3487</v>
      </c>
      <c r="K733" t="s">
        <v>28</v>
      </c>
      <c r="L733" t="s">
        <v>36</v>
      </c>
      <c r="M733">
        <v>0.36</v>
      </c>
      <c r="N733" t="s">
        <v>3488</v>
      </c>
      <c r="O733">
        <v>10556552</v>
      </c>
      <c r="P733" t="s">
        <v>3489</v>
      </c>
    </row>
    <row r="734" spans="1:16" x14ac:dyDescent="0.45">
      <c r="A734" t="s">
        <v>3490</v>
      </c>
      <c r="B734">
        <v>19</v>
      </c>
      <c r="C734" t="s">
        <v>55</v>
      </c>
      <c r="D734" t="s">
        <v>84</v>
      </c>
      <c r="E734">
        <v>834.25</v>
      </c>
      <c r="F734">
        <v>14504.64</v>
      </c>
      <c r="G734" t="s">
        <v>19</v>
      </c>
      <c r="H734" s="1">
        <v>45501</v>
      </c>
      <c r="I734" s="1">
        <v>45766</v>
      </c>
      <c r="J734" t="s">
        <v>3491</v>
      </c>
      <c r="K734" t="s">
        <v>50</v>
      </c>
      <c r="L734" t="s">
        <v>22</v>
      </c>
      <c r="M734">
        <v>0.71</v>
      </c>
      <c r="N734" t="s">
        <v>3492</v>
      </c>
      <c r="O734" t="s">
        <v>3493</v>
      </c>
      <c r="P734" t="s">
        <v>3494</v>
      </c>
    </row>
    <row r="735" spans="1:16" x14ac:dyDescent="0.45">
      <c r="A735" t="s">
        <v>3495</v>
      </c>
      <c r="B735">
        <v>74</v>
      </c>
      <c r="C735" t="s">
        <v>32</v>
      </c>
      <c r="D735" t="s">
        <v>67</v>
      </c>
      <c r="E735">
        <v>2105.96</v>
      </c>
      <c r="F735">
        <v>217.81</v>
      </c>
      <c r="G735" t="s">
        <v>19</v>
      </c>
      <c r="H735" s="1">
        <v>45029</v>
      </c>
      <c r="I735" s="1">
        <v>45594</v>
      </c>
      <c r="J735" t="s">
        <v>3496</v>
      </c>
      <c r="K735" t="s">
        <v>50</v>
      </c>
      <c r="L735" t="s">
        <v>36</v>
      </c>
      <c r="M735">
        <v>0.86</v>
      </c>
      <c r="N735" t="s">
        <v>3497</v>
      </c>
      <c r="O735" t="s">
        <v>3498</v>
      </c>
      <c r="P735" t="s">
        <v>3499</v>
      </c>
    </row>
    <row r="736" spans="1:16" x14ac:dyDescent="0.45">
      <c r="A736" t="s">
        <v>3500</v>
      </c>
      <c r="B736">
        <v>23</v>
      </c>
      <c r="C736" t="s">
        <v>17</v>
      </c>
      <c r="D736" t="s">
        <v>84</v>
      </c>
      <c r="E736">
        <v>1581.25</v>
      </c>
      <c r="F736">
        <v>12135.55</v>
      </c>
      <c r="G736" t="s">
        <v>85</v>
      </c>
      <c r="H736" s="1">
        <v>45008</v>
      </c>
      <c r="I736" s="1">
        <v>45389</v>
      </c>
      <c r="J736" t="s">
        <v>3501</v>
      </c>
      <c r="K736" t="s">
        <v>21</v>
      </c>
      <c r="L736" t="s">
        <v>43</v>
      </c>
      <c r="M736">
        <v>0.18</v>
      </c>
      <c r="N736" t="s">
        <v>3502</v>
      </c>
      <c r="O736">
        <v>61751930879</v>
      </c>
      <c r="P736" t="s">
        <v>3503</v>
      </c>
    </row>
    <row r="737" spans="1:16" x14ac:dyDescent="0.45">
      <c r="A737" t="s">
        <v>3504</v>
      </c>
      <c r="B737">
        <v>68</v>
      </c>
      <c r="C737" t="s">
        <v>32</v>
      </c>
      <c r="D737" t="s">
        <v>67</v>
      </c>
      <c r="E737">
        <v>4531.63</v>
      </c>
      <c r="F737">
        <v>795.91</v>
      </c>
      <c r="G737" t="s">
        <v>85</v>
      </c>
      <c r="H737" s="1">
        <v>44975</v>
      </c>
      <c r="I737" s="1">
        <v>45698</v>
      </c>
      <c r="J737" t="s">
        <v>3505</v>
      </c>
      <c r="K737" t="s">
        <v>21</v>
      </c>
      <c r="L737" t="s">
        <v>43</v>
      </c>
      <c r="M737">
        <v>0.28999999999999998</v>
      </c>
      <c r="N737" t="s">
        <v>3506</v>
      </c>
      <c r="O737">
        <v>812440486</v>
      </c>
      <c r="P737" t="s">
        <v>3507</v>
      </c>
    </row>
    <row r="738" spans="1:16" x14ac:dyDescent="0.45">
      <c r="A738" t="s">
        <v>3508</v>
      </c>
      <c r="B738">
        <v>62</v>
      </c>
      <c r="C738" t="s">
        <v>26</v>
      </c>
      <c r="D738" t="s">
        <v>41</v>
      </c>
      <c r="E738">
        <v>2182.46</v>
      </c>
      <c r="F738">
        <v>3797.42</v>
      </c>
      <c r="G738" t="s">
        <v>19</v>
      </c>
      <c r="H738" s="1">
        <v>45008</v>
      </c>
      <c r="I738" s="1">
        <v>45704</v>
      </c>
      <c r="J738" t="s">
        <v>3509</v>
      </c>
      <c r="K738" t="s">
        <v>35</v>
      </c>
      <c r="L738" t="s">
        <v>22</v>
      </c>
      <c r="M738">
        <v>0.97</v>
      </c>
      <c r="N738" t="s">
        <v>3510</v>
      </c>
      <c r="O738" t="s">
        <v>3511</v>
      </c>
      <c r="P738" t="s">
        <v>3512</v>
      </c>
    </row>
    <row r="739" spans="1:16" x14ac:dyDescent="0.45">
      <c r="A739" t="s">
        <v>3513</v>
      </c>
      <c r="B739">
        <v>58</v>
      </c>
      <c r="C739" t="s">
        <v>83</v>
      </c>
      <c r="D739" t="s">
        <v>41</v>
      </c>
      <c r="E739">
        <v>4241.93</v>
      </c>
      <c r="F739">
        <v>10313.49</v>
      </c>
      <c r="G739" t="s">
        <v>19</v>
      </c>
      <c r="H739" s="1">
        <v>45051</v>
      </c>
      <c r="I739" s="1">
        <v>45783</v>
      </c>
      <c r="J739" t="s">
        <v>3514</v>
      </c>
      <c r="K739" t="s">
        <v>35</v>
      </c>
      <c r="L739" t="s">
        <v>22</v>
      </c>
      <c r="M739">
        <v>0.21</v>
      </c>
      <c r="N739" t="s">
        <v>3515</v>
      </c>
      <c r="O739">
        <v>61295110967</v>
      </c>
      <c r="P739" t="s">
        <v>3516</v>
      </c>
    </row>
    <row r="740" spans="1:16" x14ac:dyDescent="0.45">
      <c r="A740" t="s">
        <v>3517</v>
      </c>
      <c r="B740">
        <v>39</v>
      </c>
      <c r="C740" t="s">
        <v>32</v>
      </c>
      <c r="D740" t="s">
        <v>67</v>
      </c>
      <c r="E740">
        <v>2085.42</v>
      </c>
      <c r="F740">
        <v>6305.41</v>
      </c>
      <c r="G740" t="s">
        <v>85</v>
      </c>
      <c r="H740" s="1">
        <v>44839</v>
      </c>
      <c r="I740" s="1">
        <v>45445</v>
      </c>
      <c r="J740" t="s">
        <v>3518</v>
      </c>
      <c r="K740" t="s">
        <v>28</v>
      </c>
      <c r="L740" t="s">
        <v>43</v>
      </c>
      <c r="M740">
        <v>0.8</v>
      </c>
      <c r="N740" t="s">
        <v>3519</v>
      </c>
      <c r="O740" t="s">
        <v>3520</v>
      </c>
      <c r="P740" t="s">
        <v>3521</v>
      </c>
    </row>
    <row r="741" spans="1:16" x14ac:dyDescent="0.45">
      <c r="A741" t="s">
        <v>3522</v>
      </c>
      <c r="B741">
        <v>68</v>
      </c>
      <c r="C741" t="s">
        <v>48</v>
      </c>
      <c r="D741" t="s">
        <v>18</v>
      </c>
      <c r="E741">
        <v>2534</v>
      </c>
      <c r="F741">
        <v>13288.33</v>
      </c>
      <c r="G741" t="s">
        <v>19</v>
      </c>
      <c r="H741" s="1">
        <v>45427</v>
      </c>
      <c r="I741" s="1">
        <v>45690</v>
      </c>
      <c r="J741" t="s">
        <v>3523</v>
      </c>
      <c r="K741" t="s">
        <v>21</v>
      </c>
      <c r="L741" t="s">
        <v>22</v>
      </c>
      <c r="M741">
        <v>0.55000000000000004</v>
      </c>
      <c r="N741" t="s">
        <v>3524</v>
      </c>
      <c r="O741" t="s">
        <v>3525</v>
      </c>
      <c r="P741" t="s">
        <v>3526</v>
      </c>
    </row>
    <row r="742" spans="1:16" x14ac:dyDescent="0.45">
      <c r="A742" t="s">
        <v>3527</v>
      </c>
      <c r="B742">
        <v>61</v>
      </c>
      <c r="C742" t="s">
        <v>40</v>
      </c>
      <c r="D742" t="s">
        <v>41</v>
      </c>
      <c r="E742">
        <v>4095.48</v>
      </c>
      <c r="F742">
        <v>2181.84</v>
      </c>
      <c r="G742" t="s">
        <v>85</v>
      </c>
      <c r="H742" s="1">
        <v>45315</v>
      </c>
      <c r="I742" s="1">
        <v>45822</v>
      </c>
      <c r="J742" t="s">
        <v>3528</v>
      </c>
      <c r="K742" t="s">
        <v>28</v>
      </c>
      <c r="L742" t="s">
        <v>43</v>
      </c>
      <c r="M742">
        <v>0.84</v>
      </c>
      <c r="N742" t="s">
        <v>3529</v>
      </c>
      <c r="O742" t="s">
        <v>3530</v>
      </c>
      <c r="P742" t="s">
        <v>3531</v>
      </c>
    </row>
    <row r="743" spans="1:16" x14ac:dyDescent="0.45">
      <c r="A743" t="s">
        <v>3532</v>
      </c>
      <c r="B743">
        <v>50</v>
      </c>
      <c r="C743" t="s">
        <v>66</v>
      </c>
      <c r="D743" t="s">
        <v>33</v>
      </c>
      <c r="E743">
        <v>2581.25</v>
      </c>
      <c r="F743">
        <v>4676.63</v>
      </c>
      <c r="G743" t="s">
        <v>85</v>
      </c>
      <c r="H743" s="1">
        <v>45249</v>
      </c>
      <c r="I743" s="1">
        <v>45454</v>
      </c>
      <c r="J743" t="s">
        <v>3533</v>
      </c>
      <c r="K743" t="s">
        <v>35</v>
      </c>
      <c r="L743" t="s">
        <v>43</v>
      </c>
      <c r="M743">
        <v>0.28000000000000003</v>
      </c>
      <c r="N743" t="s">
        <v>3534</v>
      </c>
      <c r="O743" t="s">
        <v>3535</v>
      </c>
      <c r="P743" t="s">
        <v>3536</v>
      </c>
    </row>
    <row r="744" spans="1:16" x14ac:dyDescent="0.45">
      <c r="A744" t="s">
        <v>3537</v>
      </c>
      <c r="B744">
        <v>65</v>
      </c>
      <c r="C744" t="s">
        <v>66</v>
      </c>
      <c r="D744" t="s">
        <v>41</v>
      </c>
      <c r="E744">
        <v>488.51</v>
      </c>
      <c r="F744">
        <v>7859.78</v>
      </c>
      <c r="G744" t="s">
        <v>19</v>
      </c>
      <c r="H744" s="1">
        <v>45394</v>
      </c>
      <c r="I744" s="1">
        <v>45599</v>
      </c>
      <c r="J744" t="s">
        <v>3538</v>
      </c>
      <c r="K744" t="s">
        <v>21</v>
      </c>
      <c r="L744" t="s">
        <v>43</v>
      </c>
      <c r="M744">
        <v>0.88</v>
      </c>
      <c r="N744" t="s">
        <v>3539</v>
      </c>
      <c r="O744" t="s">
        <v>3540</v>
      </c>
      <c r="P744" t="s">
        <v>3541</v>
      </c>
    </row>
    <row r="745" spans="1:16" x14ac:dyDescent="0.45">
      <c r="A745" t="s">
        <v>3542</v>
      </c>
      <c r="B745">
        <v>38</v>
      </c>
      <c r="C745" t="s">
        <v>83</v>
      </c>
      <c r="D745" t="s">
        <v>67</v>
      </c>
      <c r="E745">
        <v>2915.04</v>
      </c>
      <c r="F745">
        <v>16010.67</v>
      </c>
      <c r="G745" t="s">
        <v>85</v>
      </c>
      <c r="H745" s="1">
        <v>45282</v>
      </c>
      <c r="I745" s="1">
        <v>45843</v>
      </c>
      <c r="J745" t="s">
        <v>3543</v>
      </c>
      <c r="K745" t="s">
        <v>21</v>
      </c>
      <c r="L745" t="s">
        <v>43</v>
      </c>
      <c r="M745">
        <v>0.94</v>
      </c>
      <c r="N745" t="s">
        <v>3544</v>
      </c>
      <c r="O745">
        <f>61-2-1686-6105</f>
        <v>-7732</v>
      </c>
      <c r="P745" t="s">
        <v>3545</v>
      </c>
    </row>
    <row r="746" spans="1:16" x14ac:dyDescent="0.45">
      <c r="A746" t="s">
        <v>3546</v>
      </c>
      <c r="B746">
        <v>54</v>
      </c>
      <c r="C746" t="s">
        <v>55</v>
      </c>
      <c r="D746" t="s">
        <v>67</v>
      </c>
      <c r="E746">
        <v>801.52</v>
      </c>
      <c r="F746">
        <v>9202.2999999999993</v>
      </c>
      <c r="G746" t="s">
        <v>19</v>
      </c>
      <c r="H746" s="1">
        <v>45342</v>
      </c>
      <c r="I746" s="1">
        <v>45766</v>
      </c>
      <c r="J746" t="s">
        <v>3547</v>
      </c>
      <c r="K746" t="s">
        <v>28</v>
      </c>
      <c r="L746" t="s">
        <v>43</v>
      </c>
      <c r="M746">
        <v>0.46</v>
      </c>
      <c r="N746" t="s">
        <v>3548</v>
      </c>
      <c r="O746" t="s">
        <v>3549</v>
      </c>
      <c r="P746" t="s">
        <v>3550</v>
      </c>
    </row>
    <row r="747" spans="1:16" x14ac:dyDescent="0.45">
      <c r="A747" t="s">
        <v>3551</v>
      </c>
      <c r="B747">
        <v>59</v>
      </c>
      <c r="C747" t="s">
        <v>40</v>
      </c>
      <c r="D747" t="s">
        <v>84</v>
      </c>
      <c r="E747">
        <v>2240.11</v>
      </c>
      <c r="F747">
        <v>7732.77</v>
      </c>
      <c r="G747" t="s">
        <v>104</v>
      </c>
      <c r="H747" s="1">
        <v>45073</v>
      </c>
      <c r="I747" s="1">
        <v>45100</v>
      </c>
      <c r="J747" t="s">
        <v>3552</v>
      </c>
      <c r="K747" t="s">
        <v>35</v>
      </c>
      <c r="L747" t="s">
        <v>43</v>
      </c>
      <c r="M747">
        <v>0.89</v>
      </c>
      <c r="N747" t="s">
        <v>3553</v>
      </c>
      <c r="O747" t="s">
        <v>3554</v>
      </c>
      <c r="P747" t="s">
        <v>2747</v>
      </c>
    </row>
    <row r="748" spans="1:16" x14ac:dyDescent="0.45">
      <c r="A748" t="s">
        <v>3555</v>
      </c>
      <c r="B748">
        <v>67</v>
      </c>
      <c r="C748" t="s">
        <v>83</v>
      </c>
      <c r="D748" t="s">
        <v>33</v>
      </c>
      <c r="E748">
        <v>1850.7</v>
      </c>
      <c r="F748">
        <v>5321.79</v>
      </c>
      <c r="G748" t="s">
        <v>19</v>
      </c>
      <c r="H748" s="1">
        <v>45352</v>
      </c>
      <c r="I748" s="1">
        <v>45353</v>
      </c>
      <c r="J748" t="s">
        <v>3556</v>
      </c>
      <c r="K748" t="s">
        <v>21</v>
      </c>
      <c r="L748" t="s">
        <v>43</v>
      </c>
      <c r="M748">
        <v>0.89</v>
      </c>
      <c r="N748" t="s">
        <v>3557</v>
      </c>
      <c r="O748" t="s">
        <v>3558</v>
      </c>
      <c r="P748" t="s">
        <v>3559</v>
      </c>
    </row>
    <row r="749" spans="1:16" x14ac:dyDescent="0.45">
      <c r="A749" t="s">
        <v>3560</v>
      </c>
      <c r="B749">
        <v>49</v>
      </c>
      <c r="C749" t="s">
        <v>17</v>
      </c>
      <c r="D749" t="s">
        <v>67</v>
      </c>
      <c r="E749">
        <v>4329.29</v>
      </c>
      <c r="F749">
        <v>14262.58</v>
      </c>
      <c r="G749" t="s">
        <v>85</v>
      </c>
      <c r="H749" s="1">
        <v>45317</v>
      </c>
      <c r="I749" s="1">
        <v>45585</v>
      </c>
      <c r="J749" t="s">
        <v>3561</v>
      </c>
      <c r="K749" t="s">
        <v>28</v>
      </c>
      <c r="L749" t="s">
        <v>43</v>
      </c>
      <c r="M749">
        <v>0.1</v>
      </c>
      <c r="N749" t="s">
        <v>3562</v>
      </c>
      <c r="O749">
        <v>297397920</v>
      </c>
      <c r="P749" t="s">
        <v>3563</v>
      </c>
    </row>
    <row r="750" spans="1:16" x14ac:dyDescent="0.45">
      <c r="A750" t="s">
        <v>3564</v>
      </c>
      <c r="B750">
        <v>25</v>
      </c>
      <c r="C750" t="s">
        <v>55</v>
      </c>
      <c r="D750" t="s">
        <v>84</v>
      </c>
      <c r="E750">
        <v>2850.82</v>
      </c>
      <c r="F750">
        <v>6036.03</v>
      </c>
      <c r="G750" t="s">
        <v>19</v>
      </c>
      <c r="H750" s="1">
        <v>45418</v>
      </c>
      <c r="I750" s="1">
        <v>45769</v>
      </c>
      <c r="J750" t="s">
        <v>3565</v>
      </c>
      <c r="K750" t="s">
        <v>35</v>
      </c>
      <c r="L750" t="s">
        <v>22</v>
      </c>
      <c r="M750">
        <v>0.28000000000000003</v>
      </c>
      <c r="N750" t="s">
        <v>3566</v>
      </c>
      <c r="O750">
        <v>61760937238</v>
      </c>
      <c r="P750" t="s">
        <v>3567</v>
      </c>
    </row>
    <row r="751" spans="1:16" x14ac:dyDescent="0.45">
      <c r="A751" t="s">
        <v>3568</v>
      </c>
      <c r="B751">
        <v>63</v>
      </c>
      <c r="C751" t="s">
        <v>17</v>
      </c>
      <c r="D751" t="s">
        <v>67</v>
      </c>
      <c r="E751">
        <v>4542.6400000000003</v>
      </c>
      <c r="F751">
        <v>9127.1200000000008</v>
      </c>
      <c r="G751" t="s">
        <v>104</v>
      </c>
      <c r="H751" s="1">
        <v>45219</v>
      </c>
      <c r="I751" s="1">
        <v>45720</v>
      </c>
      <c r="J751" t="s">
        <v>3569</v>
      </c>
      <c r="K751" t="s">
        <v>28</v>
      </c>
      <c r="L751" t="s">
        <v>22</v>
      </c>
      <c r="M751">
        <v>0.26</v>
      </c>
      <c r="N751" t="s">
        <v>3570</v>
      </c>
      <c r="O751" t="s">
        <v>3571</v>
      </c>
      <c r="P751" t="s">
        <v>3572</v>
      </c>
    </row>
    <row r="752" spans="1:16" x14ac:dyDescent="0.45">
      <c r="A752" t="s">
        <v>3573</v>
      </c>
      <c r="B752">
        <v>43</v>
      </c>
      <c r="C752" t="s">
        <v>83</v>
      </c>
      <c r="D752" t="s">
        <v>84</v>
      </c>
      <c r="E752">
        <v>2533.81</v>
      </c>
      <c r="F752">
        <v>12220.34</v>
      </c>
      <c r="G752" t="s">
        <v>104</v>
      </c>
      <c r="H752" s="1">
        <v>45445</v>
      </c>
      <c r="I752" s="1">
        <v>45527</v>
      </c>
      <c r="J752" t="s">
        <v>3574</v>
      </c>
      <c r="K752" t="s">
        <v>50</v>
      </c>
      <c r="L752" t="s">
        <v>22</v>
      </c>
      <c r="M752">
        <v>0.01</v>
      </c>
      <c r="N752" t="s">
        <v>3575</v>
      </c>
      <c r="O752" t="s">
        <v>3576</v>
      </c>
      <c r="P752" t="s">
        <v>3577</v>
      </c>
    </row>
    <row r="753" spans="1:16" x14ac:dyDescent="0.45">
      <c r="A753" t="s">
        <v>3578</v>
      </c>
      <c r="B753">
        <v>18</v>
      </c>
      <c r="C753" t="s">
        <v>66</v>
      </c>
      <c r="D753" t="s">
        <v>33</v>
      </c>
      <c r="E753">
        <v>1242.22</v>
      </c>
      <c r="F753">
        <v>16421.03</v>
      </c>
      <c r="G753" t="s">
        <v>19</v>
      </c>
      <c r="H753" s="1">
        <v>45089</v>
      </c>
      <c r="I753" s="1">
        <v>45509</v>
      </c>
      <c r="J753" t="s">
        <v>3579</v>
      </c>
      <c r="K753" t="s">
        <v>28</v>
      </c>
      <c r="L753" t="s">
        <v>43</v>
      </c>
      <c r="M753">
        <v>0.69</v>
      </c>
      <c r="N753" t="s">
        <v>3580</v>
      </c>
      <c r="O753" t="s">
        <v>3581</v>
      </c>
      <c r="P753" t="s">
        <v>3582</v>
      </c>
    </row>
    <row r="754" spans="1:16" x14ac:dyDescent="0.45">
      <c r="A754" t="s">
        <v>3583</v>
      </c>
      <c r="B754">
        <v>64</v>
      </c>
      <c r="C754" t="s">
        <v>66</v>
      </c>
      <c r="D754" t="s">
        <v>84</v>
      </c>
      <c r="E754">
        <v>2657.68</v>
      </c>
      <c r="F754">
        <v>6722.98</v>
      </c>
      <c r="G754" t="s">
        <v>19</v>
      </c>
      <c r="H754" s="1">
        <v>44801</v>
      </c>
      <c r="I754" s="1">
        <v>44833</v>
      </c>
      <c r="J754" t="s">
        <v>3584</v>
      </c>
      <c r="K754" t="s">
        <v>35</v>
      </c>
      <c r="L754" t="s">
        <v>43</v>
      </c>
      <c r="M754">
        <v>0.35</v>
      </c>
      <c r="N754" t="s">
        <v>3585</v>
      </c>
      <c r="O754" t="s">
        <v>3586</v>
      </c>
      <c r="P754" t="s">
        <v>3587</v>
      </c>
    </row>
    <row r="755" spans="1:16" x14ac:dyDescent="0.45">
      <c r="A755" t="s">
        <v>3588</v>
      </c>
      <c r="B755">
        <v>54</v>
      </c>
      <c r="C755" t="s">
        <v>55</v>
      </c>
      <c r="D755" t="s">
        <v>67</v>
      </c>
      <c r="E755">
        <v>3420.77</v>
      </c>
      <c r="F755">
        <v>5093.6899999999996</v>
      </c>
      <c r="G755" t="s">
        <v>19</v>
      </c>
      <c r="H755" s="1">
        <v>45425</v>
      </c>
      <c r="I755" s="1">
        <v>45496</v>
      </c>
      <c r="J755" t="s">
        <v>3589</v>
      </c>
      <c r="K755" t="s">
        <v>35</v>
      </c>
      <c r="L755" t="s">
        <v>43</v>
      </c>
      <c r="M755">
        <v>0.64</v>
      </c>
      <c r="N755" t="s">
        <v>3590</v>
      </c>
      <c r="O755">
        <f>61-435-175-193</f>
        <v>-742</v>
      </c>
      <c r="P755" t="s">
        <v>3591</v>
      </c>
    </row>
    <row r="756" spans="1:16" x14ac:dyDescent="0.45">
      <c r="A756" t="s">
        <v>3592</v>
      </c>
      <c r="B756">
        <v>56</v>
      </c>
      <c r="C756" t="s">
        <v>66</v>
      </c>
      <c r="D756" t="s">
        <v>33</v>
      </c>
      <c r="E756">
        <v>678.55</v>
      </c>
      <c r="F756">
        <v>16736.53</v>
      </c>
      <c r="G756" t="s">
        <v>85</v>
      </c>
      <c r="H756" s="1">
        <v>45450</v>
      </c>
      <c r="I756" s="1">
        <v>45827</v>
      </c>
      <c r="J756" t="s">
        <v>3593</v>
      </c>
      <c r="K756" t="s">
        <v>35</v>
      </c>
      <c r="L756" t="s">
        <v>36</v>
      </c>
      <c r="M756">
        <v>0.92</v>
      </c>
      <c r="N756" t="s">
        <v>3594</v>
      </c>
      <c r="O756" t="s">
        <v>3595</v>
      </c>
      <c r="P756" t="s">
        <v>3596</v>
      </c>
    </row>
    <row r="757" spans="1:16" x14ac:dyDescent="0.45">
      <c r="A757" t="s">
        <v>3597</v>
      </c>
      <c r="B757">
        <v>26</v>
      </c>
      <c r="C757" t="s">
        <v>55</v>
      </c>
      <c r="D757" t="s">
        <v>67</v>
      </c>
      <c r="E757">
        <v>1824.02</v>
      </c>
      <c r="F757">
        <v>18759.87</v>
      </c>
      <c r="G757" t="s">
        <v>104</v>
      </c>
      <c r="H757" s="1">
        <v>45135</v>
      </c>
      <c r="I757" s="1">
        <v>45800</v>
      </c>
      <c r="J757" t="s">
        <v>3598</v>
      </c>
      <c r="K757" t="s">
        <v>50</v>
      </c>
      <c r="L757" t="s">
        <v>43</v>
      </c>
      <c r="M757">
        <v>0.76</v>
      </c>
      <c r="N757" t="s">
        <v>3599</v>
      </c>
      <c r="O757">
        <v>6555.4564</v>
      </c>
      <c r="P757" t="s">
        <v>3600</v>
      </c>
    </row>
    <row r="758" spans="1:16" x14ac:dyDescent="0.45">
      <c r="A758" t="s">
        <v>3601</v>
      </c>
      <c r="B758">
        <v>43</v>
      </c>
      <c r="C758" t="s">
        <v>83</v>
      </c>
      <c r="D758" t="s">
        <v>33</v>
      </c>
      <c r="E758">
        <v>2000.17</v>
      </c>
      <c r="F758">
        <v>14416.75</v>
      </c>
      <c r="G758" t="s">
        <v>85</v>
      </c>
      <c r="H758" s="1">
        <v>45466</v>
      </c>
      <c r="I758" s="1">
        <v>45722</v>
      </c>
      <c r="J758" t="s">
        <v>3602</v>
      </c>
      <c r="K758" t="s">
        <v>50</v>
      </c>
      <c r="L758" t="s">
        <v>22</v>
      </c>
      <c r="M758">
        <v>0.75</v>
      </c>
      <c r="N758" t="s">
        <v>3603</v>
      </c>
      <c r="O758">
        <v>68347591</v>
      </c>
      <c r="P758" t="s">
        <v>3604</v>
      </c>
    </row>
    <row r="759" spans="1:16" x14ac:dyDescent="0.45">
      <c r="A759" t="s">
        <v>3605</v>
      </c>
      <c r="B759">
        <v>46</v>
      </c>
      <c r="C759" t="s">
        <v>17</v>
      </c>
      <c r="D759" t="s">
        <v>18</v>
      </c>
      <c r="E759">
        <v>2248.59</v>
      </c>
      <c r="F759">
        <v>15341.73</v>
      </c>
      <c r="G759" t="s">
        <v>19</v>
      </c>
      <c r="H759" s="1">
        <v>45040</v>
      </c>
      <c r="I759" s="1">
        <v>45560</v>
      </c>
      <c r="J759" t="s">
        <v>3606</v>
      </c>
      <c r="K759" t="s">
        <v>28</v>
      </c>
      <c r="L759" t="s">
        <v>22</v>
      </c>
      <c r="M759">
        <v>0.19</v>
      </c>
      <c r="N759" t="s">
        <v>3607</v>
      </c>
      <c r="O759" t="s">
        <v>3608</v>
      </c>
      <c r="P759" t="s">
        <v>3609</v>
      </c>
    </row>
    <row r="760" spans="1:16" x14ac:dyDescent="0.45">
      <c r="A760" t="s">
        <v>3610</v>
      </c>
      <c r="B760">
        <v>33</v>
      </c>
      <c r="C760" t="s">
        <v>55</v>
      </c>
      <c r="D760" t="s">
        <v>18</v>
      </c>
      <c r="E760">
        <v>698.03</v>
      </c>
      <c r="F760">
        <v>3363.41</v>
      </c>
      <c r="G760" t="s">
        <v>104</v>
      </c>
      <c r="H760" s="1">
        <v>45341</v>
      </c>
      <c r="I760" s="1">
        <v>45505</v>
      </c>
      <c r="J760" t="s">
        <v>3611</v>
      </c>
      <c r="K760" t="s">
        <v>50</v>
      </c>
      <c r="L760" t="s">
        <v>36</v>
      </c>
      <c r="M760">
        <v>0.5</v>
      </c>
      <c r="N760" t="s">
        <v>3612</v>
      </c>
      <c r="O760" t="s">
        <v>3613</v>
      </c>
      <c r="P760" t="s">
        <v>3614</v>
      </c>
    </row>
    <row r="761" spans="1:16" x14ac:dyDescent="0.45">
      <c r="A761" t="s">
        <v>3615</v>
      </c>
      <c r="B761">
        <v>32</v>
      </c>
      <c r="C761" t="s">
        <v>40</v>
      </c>
      <c r="D761" t="s">
        <v>33</v>
      </c>
      <c r="E761">
        <v>3978.94</v>
      </c>
      <c r="F761">
        <v>12878.96</v>
      </c>
      <c r="G761" t="s">
        <v>19</v>
      </c>
      <c r="H761" s="1">
        <v>45117</v>
      </c>
      <c r="I761" s="1">
        <v>45443</v>
      </c>
      <c r="J761" t="s">
        <v>3616</v>
      </c>
      <c r="K761" t="s">
        <v>28</v>
      </c>
      <c r="L761" t="s">
        <v>22</v>
      </c>
      <c r="M761">
        <v>0.05</v>
      </c>
      <c r="N761" t="s">
        <v>3617</v>
      </c>
      <c r="O761" t="s">
        <v>3618</v>
      </c>
      <c r="P761" t="s">
        <v>3619</v>
      </c>
    </row>
    <row r="762" spans="1:16" x14ac:dyDescent="0.45">
      <c r="A762" t="s">
        <v>3620</v>
      </c>
      <c r="B762">
        <v>20</v>
      </c>
      <c r="C762" t="s">
        <v>48</v>
      </c>
      <c r="D762" t="s">
        <v>84</v>
      </c>
      <c r="E762">
        <v>1927.62</v>
      </c>
      <c r="F762">
        <v>12205.94</v>
      </c>
      <c r="G762" t="s">
        <v>104</v>
      </c>
      <c r="H762" s="1">
        <v>45479</v>
      </c>
      <c r="I762" s="1">
        <v>45678</v>
      </c>
      <c r="J762" t="s">
        <v>3621</v>
      </c>
      <c r="K762" t="s">
        <v>35</v>
      </c>
      <c r="L762" t="s">
        <v>36</v>
      </c>
      <c r="M762">
        <v>0.43</v>
      </c>
      <c r="N762" t="s">
        <v>3622</v>
      </c>
      <c r="O762" t="s">
        <v>3623</v>
      </c>
      <c r="P762" t="s">
        <v>3624</v>
      </c>
    </row>
    <row r="763" spans="1:16" x14ac:dyDescent="0.45">
      <c r="A763" t="s">
        <v>3625</v>
      </c>
      <c r="B763">
        <v>72</v>
      </c>
      <c r="C763" t="s">
        <v>17</v>
      </c>
      <c r="D763" t="s">
        <v>41</v>
      </c>
      <c r="E763">
        <v>2047.01</v>
      </c>
      <c r="F763">
        <v>4622.55</v>
      </c>
      <c r="G763" t="s">
        <v>104</v>
      </c>
      <c r="H763" s="1">
        <v>45089</v>
      </c>
      <c r="I763" s="1">
        <v>45158</v>
      </c>
      <c r="J763" t="s">
        <v>3626</v>
      </c>
      <c r="K763" t="s">
        <v>21</v>
      </c>
      <c r="L763" t="s">
        <v>43</v>
      </c>
      <c r="M763">
        <v>0.55000000000000004</v>
      </c>
      <c r="N763" t="s">
        <v>3627</v>
      </c>
      <c r="O763">
        <f>61-2-1897-2709</f>
        <v>-4547</v>
      </c>
      <c r="P763" t="s">
        <v>3628</v>
      </c>
    </row>
    <row r="764" spans="1:16" x14ac:dyDescent="0.45">
      <c r="A764" t="s">
        <v>3629</v>
      </c>
      <c r="B764">
        <v>66</v>
      </c>
      <c r="C764" t="s">
        <v>48</v>
      </c>
      <c r="D764" t="s">
        <v>18</v>
      </c>
      <c r="E764">
        <v>2745.74</v>
      </c>
      <c r="F764">
        <v>19911.759999999998</v>
      </c>
      <c r="G764" t="s">
        <v>19</v>
      </c>
      <c r="H764" s="1">
        <v>44935</v>
      </c>
      <c r="I764" s="1">
        <v>45586</v>
      </c>
      <c r="J764" t="s">
        <v>3630</v>
      </c>
      <c r="K764" t="s">
        <v>28</v>
      </c>
      <c r="L764" t="s">
        <v>22</v>
      </c>
      <c r="M764">
        <v>0.91</v>
      </c>
      <c r="N764" t="s">
        <v>3631</v>
      </c>
      <c r="O764" t="s">
        <v>3632</v>
      </c>
      <c r="P764" t="s">
        <v>3633</v>
      </c>
    </row>
    <row r="765" spans="1:16" x14ac:dyDescent="0.45">
      <c r="A765" t="s">
        <v>3634</v>
      </c>
      <c r="B765">
        <v>34</v>
      </c>
      <c r="C765" t="s">
        <v>32</v>
      </c>
      <c r="D765" t="s">
        <v>33</v>
      </c>
      <c r="E765">
        <v>3458.79</v>
      </c>
      <c r="F765">
        <v>15273.29</v>
      </c>
      <c r="G765" t="s">
        <v>85</v>
      </c>
      <c r="H765" s="1">
        <v>44778</v>
      </c>
      <c r="I765" s="1">
        <v>45238</v>
      </c>
      <c r="J765" t="s">
        <v>3635</v>
      </c>
      <c r="K765" t="s">
        <v>35</v>
      </c>
      <c r="L765" t="s">
        <v>36</v>
      </c>
      <c r="M765">
        <v>0.19</v>
      </c>
      <c r="N765" t="s">
        <v>3636</v>
      </c>
      <c r="O765" t="s">
        <v>3637</v>
      </c>
      <c r="P765" t="s">
        <v>3638</v>
      </c>
    </row>
    <row r="766" spans="1:16" x14ac:dyDescent="0.45">
      <c r="A766" t="s">
        <v>3639</v>
      </c>
      <c r="B766">
        <v>23</v>
      </c>
      <c r="C766" t="s">
        <v>48</v>
      </c>
      <c r="D766" t="s">
        <v>18</v>
      </c>
      <c r="E766">
        <v>1741.93</v>
      </c>
      <c r="F766">
        <v>13037.21</v>
      </c>
      <c r="G766" t="s">
        <v>85</v>
      </c>
      <c r="H766" s="1">
        <v>44826</v>
      </c>
      <c r="I766" s="1">
        <v>45168</v>
      </c>
      <c r="J766" t="s">
        <v>3640</v>
      </c>
      <c r="K766" t="s">
        <v>21</v>
      </c>
      <c r="L766" t="s">
        <v>36</v>
      </c>
      <c r="M766">
        <v>0.77</v>
      </c>
      <c r="N766" t="s">
        <v>3641</v>
      </c>
      <c r="O766" t="s">
        <v>3642</v>
      </c>
      <c r="P766" t="s">
        <v>3643</v>
      </c>
    </row>
    <row r="767" spans="1:16" x14ac:dyDescent="0.45">
      <c r="A767" t="s">
        <v>3644</v>
      </c>
      <c r="B767">
        <v>59</v>
      </c>
      <c r="C767" t="s">
        <v>48</v>
      </c>
      <c r="D767" t="s">
        <v>67</v>
      </c>
      <c r="E767">
        <v>2292.04</v>
      </c>
      <c r="F767">
        <v>15425.59</v>
      </c>
      <c r="G767" t="s">
        <v>19</v>
      </c>
      <c r="H767" s="1">
        <v>45198</v>
      </c>
      <c r="I767" s="1">
        <v>45818</v>
      </c>
      <c r="J767" t="s">
        <v>3645</v>
      </c>
      <c r="K767" t="s">
        <v>35</v>
      </c>
      <c r="L767" t="s">
        <v>22</v>
      </c>
      <c r="M767">
        <v>0.38</v>
      </c>
      <c r="N767" t="s">
        <v>3646</v>
      </c>
      <c r="O767">
        <v>306930804</v>
      </c>
      <c r="P767" t="s">
        <v>3647</v>
      </c>
    </row>
    <row r="768" spans="1:16" x14ac:dyDescent="0.45">
      <c r="A768" t="s">
        <v>3648</v>
      </c>
      <c r="B768">
        <v>50</v>
      </c>
      <c r="C768" t="s">
        <v>32</v>
      </c>
      <c r="D768" t="s">
        <v>41</v>
      </c>
      <c r="E768">
        <v>1199.27</v>
      </c>
      <c r="F768">
        <v>12804.01</v>
      </c>
      <c r="G768" t="s">
        <v>19</v>
      </c>
      <c r="H768" s="1">
        <v>45170</v>
      </c>
      <c r="I768" s="1">
        <v>45845</v>
      </c>
      <c r="J768" t="s">
        <v>3649</v>
      </c>
      <c r="K768" t="s">
        <v>28</v>
      </c>
      <c r="L768" t="s">
        <v>36</v>
      </c>
      <c r="M768">
        <v>0.72</v>
      </c>
      <c r="N768" t="s">
        <v>3650</v>
      </c>
      <c r="O768">
        <f>61-459-306-168</f>
        <v>-872</v>
      </c>
      <c r="P768" t="s">
        <v>3651</v>
      </c>
    </row>
    <row r="769" spans="1:16" x14ac:dyDescent="0.45">
      <c r="A769" t="s">
        <v>3652</v>
      </c>
      <c r="B769">
        <v>75</v>
      </c>
      <c r="C769" t="s">
        <v>26</v>
      </c>
      <c r="D769" t="s">
        <v>18</v>
      </c>
      <c r="E769">
        <v>4050.04</v>
      </c>
      <c r="F769">
        <v>18276.61</v>
      </c>
      <c r="G769" t="s">
        <v>19</v>
      </c>
      <c r="H769" s="1">
        <v>44940</v>
      </c>
      <c r="I769" s="1">
        <v>45039</v>
      </c>
      <c r="J769" t="s">
        <v>3653</v>
      </c>
      <c r="K769" t="s">
        <v>50</v>
      </c>
      <c r="L769" t="s">
        <v>36</v>
      </c>
      <c r="M769">
        <v>0.24</v>
      </c>
      <c r="N769" t="s">
        <v>3654</v>
      </c>
      <c r="O769">
        <f>61-7-6951-686</f>
        <v>-7583</v>
      </c>
      <c r="P769" t="s">
        <v>3655</v>
      </c>
    </row>
    <row r="770" spans="1:16" x14ac:dyDescent="0.45">
      <c r="A770" t="s">
        <v>3656</v>
      </c>
      <c r="B770">
        <v>49</v>
      </c>
      <c r="C770" t="s">
        <v>48</v>
      </c>
      <c r="D770" t="s">
        <v>84</v>
      </c>
      <c r="E770">
        <v>1927.01</v>
      </c>
      <c r="F770">
        <v>227.78</v>
      </c>
      <c r="G770" t="s">
        <v>19</v>
      </c>
      <c r="H770" s="1">
        <v>44918</v>
      </c>
      <c r="I770" s="1">
        <v>45187</v>
      </c>
      <c r="J770" t="s">
        <v>3657</v>
      </c>
      <c r="K770" t="s">
        <v>28</v>
      </c>
      <c r="L770" t="s">
        <v>36</v>
      </c>
      <c r="M770">
        <v>0.18</v>
      </c>
      <c r="N770" t="s">
        <v>3658</v>
      </c>
      <c r="O770">
        <v>235138558</v>
      </c>
      <c r="P770" t="s">
        <v>3659</v>
      </c>
    </row>
    <row r="771" spans="1:16" x14ac:dyDescent="0.45">
      <c r="A771" t="s">
        <v>3660</v>
      </c>
      <c r="B771">
        <v>21</v>
      </c>
      <c r="C771" t="s">
        <v>17</v>
      </c>
      <c r="D771" t="s">
        <v>18</v>
      </c>
      <c r="E771">
        <v>4090.22</v>
      </c>
      <c r="F771">
        <v>838.06</v>
      </c>
      <c r="G771" t="s">
        <v>19</v>
      </c>
      <c r="H771" s="1">
        <v>45060</v>
      </c>
      <c r="I771" s="1">
        <v>45075</v>
      </c>
      <c r="J771" t="s">
        <v>3661</v>
      </c>
      <c r="K771" t="s">
        <v>50</v>
      </c>
      <c r="L771" t="s">
        <v>43</v>
      </c>
      <c r="M771">
        <v>0.77</v>
      </c>
      <c r="N771" t="s">
        <v>3662</v>
      </c>
      <c r="O771">
        <v>3777.1350000000002</v>
      </c>
      <c r="P771" t="s">
        <v>3663</v>
      </c>
    </row>
    <row r="772" spans="1:16" x14ac:dyDescent="0.45">
      <c r="A772" t="s">
        <v>3664</v>
      </c>
      <c r="B772">
        <v>75</v>
      </c>
      <c r="C772" t="s">
        <v>26</v>
      </c>
      <c r="D772" t="s">
        <v>18</v>
      </c>
      <c r="E772">
        <v>2885.79</v>
      </c>
      <c r="F772">
        <v>19060.27</v>
      </c>
      <c r="G772" t="s">
        <v>104</v>
      </c>
      <c r="H772" s="1">
        <v>45200</v>
      </c>
      <c r="I772" s="1">
        <v>45277</v>
      </c>
      <c r="J772" t="s">
        <v>3665</v>
      </c>
      <c r="K772" t="s">
        <v>28</v>
      </c>
      <c r="L772" t="s">
        <v>36</v>
      </c>
      <c r="M772">
        <v>0.41</v>
      </c>
      <c r="N772" t="s">
        <v>3666</v>
      </c>
      <c r="O772" t="s">
        <v>3667</v>
      </c>
      <c r="P772" t="s">
        <v>3668</v>
      </c>
    </row>
    <row r="773" spans="1:16" x14ac:dyDescent="0.45">
      <c r="A773" t="s">
        <v>3669</v>
      </c>
      <c r="B773">
        <v>61</v>
      </c>
      <c r="C773" t="s">
        <v>26</v>
      </c>
      <c r="D773" t="s">
        <v>18</v>
      </c>
      <c r="E773">
        <v>984.75</v>
      </c>
      <c r="F773">
        <v>13118.49</v>
      </c>
      <c r="G773" t="s">
        <v>19</v>
      </c>
      <c r="H773" s="1">
        <v>45088</v>
      </c>
      <c r="I773" s="1">
        <v>45861</v>
      </c>
      <c r="J773" t="s">
        <v>3670</v>
      </c>
      <c r="K773" t="s">
        <v>28</v>
      </c>
      <c r="L773" t="s">
        <v>22</v>
      </c>
      <c r="M773">
        <v>0.84</v>
      </c>
      <c r="N773" t="s">
        <v>3671</v>
      </c>
      <c r="O773">
        <v>852679482</v>
      </c>
      <c r="P773" t="s">
        <v>3672</v>
      </c>
    </row>
    <row r="774" spans="1:16" x14ac:dyDescent="0.45">
      <c r="A774" t="s">
        <v>3673</v>
      </c>
      <c r="B774">
        <v>33</v>
      </c>
      <c r="C774" t="s">
        <v>32</v>
      </c>
      <c r="D774" t="s">
        <v>41</v>
      </c>
      <c r="E774">
        <v>757.51</v>
      </c>
      <c r="F774">
        <v>2512.4299999999998</v>
      </c>
      <c r="G774" t="s">
        <v>19</v>
      </c>
      <c r="H774" s="1">
        <v>45099</v>
      </c>
      <c r="I774" s="1">
        <v>45271</v>
      </c>
      <c r="J774" t="s">
        <v>3674</v>
      </c>
      <c r="K774" t="s">
        <v>50</v>
      </c>
      <c r="L774" t="s">
        <v>36</v>
      </c>
      <c r="M774">
        <v>0.93</v>
      </c>
      <c r="N774" t="s">
        <v>3675</v>
      </c>
      <c r="O774" t="s">
        <v>3676</v>
      </c>
      <c r="P774" t="s">
        <v>3677</v>
      </c>
    </row>
    <row r="775" spans="1:16" x14ac:dyDescent="0.45">
      <c r="A775" t="s">
        <v>3678</v>
      </c>
      <c r="B775">
        <v>29</v>
      </c>
      <c r="C775" t="s">
        <v>26</v>
      </c>
      <c r="D775" t="s">
        <v>67</v>
      </c>
      <c r="E775">
        <v>2561.02</v>
      </c>
      <c r="F775">
        <v>13943.14</v>
      </c>
      <c r="G775" t="s">
        <v>19</v>
      </c>
      <c r="H775" s="1">
        <v>45463</v>
      </c>
      <c r="I775" s="1">
        <v>45605</v>
      </c>
      <c r="J775" t="s">
        <v>3679</v>
      </c>
      <c r="K775" t="s">
        <v>35</v>
      </c>
      <c r="L775" t="s">
        <v>36</v>
      </c>
      <c r="M775">
        <v>0.44</v>
      </c>
      <c r="N775" t="s">
        <v>3680</v>
      </c>
      <c r="O775">
        <v>88256658</v>
      </c>
      <c r="P775" t="s">
        <v>3681</v>
      </c>
    </row>
    <row r="776" spans="1:16" x14ac:dyDescent="0.45">
      <c r="A776" t="s">
        <v>3682</v>
      </c>
      <c r="B776">
        <v>53</v>
      </c>
      <c r="C776" t="s">
        <v>17</v>
      </c>
      <c r="D776" t="s">
        <v>18</v>
      </c>
      <c r="E776">
        <v>4878.1000000000004</v>
      </c>
      <c r="F776">
        <v>11433.27</v>
      </c>
      <c r="G776" t="s">
        <v>19</v>
      </c>
      <c r="H776" s="1">
        <v>45469</v>
      </c>
      <c r="I776" s="1">
        <v>45508</v>
      </c>
      <c r="J776" t="s">
        <v>3683</v>
      </c>
      <c r="K776" t="s">
        <v>35</v>
      </c>
      <c r="L776" t="s">
        <v>36</v>
      </c>
      <c r="M776">
        <v>0.18</v>
      </c>
      <c r="N776" t="s">
        <v>3684</v>
      </c>
      <c r="O776">
        <v>765375809</v>
      </c>
      <c r="P776" t="s">
        <v>3685</v>
      </c>
    </row>
    <row r="777" spans="1:16" x14ac:dyDescent="0.45">
      <c r="A777" t="s">
        <v>3686</v>
      </c>
      <c r="B777">
        <v>35</v>
      </c>
      <c r="C777" t="s">
        <v>26</v>
      </c>
      <c r="D777" t="s">
        <v>33</v>
      </c>
      <c r="E777">
        <v>1792.12</v>
      </c>
      <c r="F777">
        <v>13043.94</v>
      </c>
      <c r="G777" t="s">
        <v>19</v>
      </c>
      <c r="H777" s="1">
        <v>45104</v>
      </c>
      <c r="I777" s="1">
        <v>45118</v>
      </c>
      <c r="J777" t="s">
        <v>3687</v>
      </c>
      <c r="K777" t="s">
        <v>21</v>
      </c>
      <c r="L777" t="s">
        <v>36</v>
      </c>
      <c r="M777">
        <v>0.9</v>
      </c>
      <c r="N777" t="s">
        <v>3688</v>
      </c>
      <c r="O777" t="s">
        <v>3689</v>
      </c>
      <c r="P777" t="s">
        <v>3690</v>
      </c>
    </row>
    <row r="778" spans="1:16" x14ac:dyDescent="0.45">
      <c r="A778" t="s">
        <v>3691</v>
      </c>
      <c r="B778">
        <v>27</v>
      </c>
      <c r="C778" t="s">
        <v>40</v>
      </c>
      <c r="D778" t="s">
        <v>33</v>
      </c>
      <c r="E778">
        <v>1191.5</v>
      </c>
      <c r="F778">
        <v>11074.41</v>
      </c>
      <c r="G778" t="s">
        <v>19</v>
      </c>
      <c r="H778" s="1">
        <v>45220</v>
      </c>
      <c r="I778" s="1">
        <v>45858</v>
      </c>
      <c r="J778" t="s">
        <v>3692</v>
      </c>
      <c r="K778" t="s">
        <v>21</v>
      </c>
      <c r="L778" t="s">
        <v>22</v>
      </c>
      <c r="M778">
        <v>0.05</v>
      </c>
      <c r="N778" t="s">
        <v>3693</v>
      </c>
      <c r="O778" t="s">
        <v>3694</v>
      </c>
      <c r="P778" t="s">
        <v>3695</v>
      </c>
    </row>
    <row r="779" spans="1:16" x14ac:dyDescent="0.45">
      <c r="A779" t="s">
        <v>3696</v>
      </c>
      <c r="B779">
        <v>34</v>
      </c>
      <c r="C779" t="s">
        <v>83</v>
      </c>
      <c r="D779" t="s">
        <v>84</v>
      </c>
      <c r="E779">
        <v>4639.8500000000004</v>
      </c>
      <c r="F779">
        <v>5215.3599999999997</v>
      </c>
      <c r="G779" t="s">
        <v>19</v>
      </c>
      <c r="H779" s="1">
        <v>45036</v>
      </c>
      <c r="I779" s="1">
        <v>45659</v>
      </c>
      <c r="J779" t="s">
        <v>3697</v>
      </c>
      <c r="K779" t="s">
        <v>50</v>
      </c>
      <c r="L779" t="s">
        <v>43</v>
      </c>
      <c r="M779">
        <v>0.27</v>
      </c>
      <c r="N779" t="s">
        <v>3698</v>
      </c>
      <c r="O779">
        <f>61-2-3729-2968</f>
        <v>-6638</v>
      </c>
      <c r="P779" t="s">
        <v>3699</v>
      </c>
    </row>
    <row r="780" spans="1:16" x14ac:dyDescent="0.45">
      <c r="A780" t="s">
        <v>3700</v>
      </c>
      <c r="B780">
        <v>31</v>
      </c>
      <c r="C780" t="s">
        <v>32</v>
      </c>
      <c r="D780" t="s">
        <v>33</v>
      </c>
      <c r="E780">
        <v>3852.43</v>
      </c>
      <c r="F780">
        <v>16761.27</v>
      </c>
      <c r="G780" t="s">
        <v>104</v>
      </c>
      <c r="H780" s="1">
        <v>44919</v>
      </c>
      <c r="I780" s="1">
        <v>45273</v>
      </c>
      <c r="J780" t="s">
        <v>3701</v>
      </c>
      <c r="K780" t="s">
        <v>50</v>
      </c>
      <c r="L780" t="s">
        <v>43</v>
      </c>
      <c r="M780">
        <v>0.42</v>
      </c>
      <c r="N780" t="s">
        <v>3702</v>
      </c>
      <c r="O780" t="s">
        <v>3703</v>
      </c>
      <c r="P780" t="s">
        <v>3704</v>
      </c>
    </row>
    <row r="781" spans="1:16" x14ac:dyDescent="0.45">
      <c r="A781" t="s">
        <v>3705</v>
      </c>
      <c r="B781">
        <v>21</v>
      </c>
      <c r="C781" t="s">
        <v>66</v>
      </c>
      <c r="D781" t="s">
        <v>84</v>
      </c>
      <c r="E781">
        <v>440.81</v>
      </c>
      <c r="F781">
        <v>321.94</v>
      </c>
      <c r="G781" t="s">
        <v>19</v>
      </c>
      <c r="H781" s="1">
        <v>45025</v>
      </c>
      <c r="I781" s="1">
        <v>45129</v>
      </c>
      <c r="J781" t="s">
        <v>3706</v>
      </c>
      <c r="K781" t="s">
        <v>50</v>
      </c>
      <c r="L781" t="s">
        <v>43</v>
      </c>
      <c r="M781">
        <v>0.27</v>
      </c>
      <c r="N781" t="s">
        <v>3707</v>
      </c>
      <c r="O781">
        <v>38569004</v>
      </c>
      <c r="P781" t="s">
        <v>3708</v>
      </c>
    </row>
    <row r="782" spans="1:16" x14ac:dyDescent="0.45">
      <c r="A782" t="s">
        <v>3709</v>
      </c>
      <c r="B782">
        <v>31</v>
      </c>
      <c r="C782" t="s">
        <v>66</v>
      </c>
      <c r="D782" t="s">
        <v>18</v>
      </c>
      <c r="E782">
        <v>985.38</v>
      </c>
      <c r="F782">
        <v>18878.34</v>
      </c>
      <c r="G782" t="s">
        <v>19</v>
      </c>
      <c r="H782" s="1">
        <v>44904</v>
      </c>
      <c r="I782" s="1">
        <v>45839</v>
      </c>
      <c r="J782" t="s">
        <v>3710</v>
      </c>
      <c r="K782" t="s">
        <v>50</v>
      </c>
      <c r="L782" t="s">
        <v>36</v>
      </c>
      <c r="M782">
        <v>0.5</v>
      </c>
      <c r="N782" t="s">
        <v>3711</v>
      </c>
      <c r="O782" t="s">
        <v>3712</v>
      </c>
      <c r="P782" t="s">
        <v>3713</v>
      </c>
    </row>
    <row r="783" spans="1:16" x14ac:dyDescent="0.45">
      <c r="A783" t="s">
        <v>3714</v>
      </c>
      <c r="B783">
        <v>64</v>
      </c>
      <c r="C783" t="s">
        <v>17</v>
      </c>
      <c r="D783" t="s">
        <v>84</v>
      </c>
      <c r="E783">
        <v>2037.38</v>
      </c>
      <c r="F783">
        <v>6804.71</v>
      </c>
      <c r="G783" t="s">
        <v>19</v>
      </c>
      <c r="H783" s="1">
        <v>45041</v>
      </c>
      <c r="I783" s="1">
        <v>45334</v>
      </c>
      <c r="J783" t="s">
        <v>3715</v>
      </c>
      <c r="K783" t="s">
        <v>35</v>
      </c>
      <c r="L783" t="s">
        <v>22</v>
      </c>
      <c r="M783">
        <v>0.84</v>
      </c>
      <c r="N783" t="s">
        <v>3716</v>
      </c>
      <c r="O783" t="s">
        <v>3717</v>
      </c>
      <c r="P783" t="s">
        <v>3718</v>
      </c>
    </row>
    <row r="784" spans="1:16" x14ac:dyDescent="0.45">
      <c r="A784" t="s">
        <v>3719</v>
      </c>
      <c r="B784">
        <v>30</v>
      </c>
      <c r="C784" t="s">
        <v>83</v>
      </c>
      <c r="D784" t="s">
        <v>41</v>
      </c>
      <c r="E784">
        <v>455.84</v>
      </c>
      <c r="F784">
        <v>15338.11</v>
      </c>
      <c r="G784" t="s">
        <v>104</v>
      </c>
      <c r="H784" s="1">
        <v>45131</v>
      </c>
      <c r="I784" s="1">
        <v>45611</v>
      </c>
      <c r="J784" t="s">
        <v>3720</v>
      </c>
      <c r="K784" t="s">
        <v>21</v>
      </c>
      <c r="L784" t="s">
        <v>43</v>
      </c>
      <c r="M784">
        <v>0.48</v>
      </c>
      <c r="N784" t="s">
        <v>3721</v>
      </c>
      <c r="O784" t="s">
        <v>3722</v>
      </c>
      <c r="P784" t="s">
        <v>3723</v>
      </c>
    </row>
    <row r="785" spans="1:16" x14ac:dyDescent="0.45">
      <c r="A785" t="s">
        <v>3724</v>
      </c>
      <c r="B785">
        <v>48</v>
      </c>
      <c r="C785" t="s">
        <v>26</v>
      </c>
      <c r="D785" t="s">
        <v>41</v>
      </c>
      <c r="E785">
        <v>4540.6099999999997</v>
      </c>
      <c r="F785">
        <v>239.47</v>
      </c>
      <c r="G785" t="s">
        <v>19</v>
      </c>
      <c r="H785" s="1">
        <v>45073</v>
      </c>
      <c r="I785" s="1">
        <v>45645</v>
      </c>
      <c r="J785" t="s">
        <v>3725</v>
      </c>
      <c r="K785" t="s">
        <v>21</v>
      </c>
      <c r="L785" t="s">
        <v>22</v>
      </c>
      <c r="M785">
        <v>0.26</v>
      </c>
      <c r="N785" t="s">
        <v>3726</v>
      </c>
      <c r="O785">
        <v>823014479</v>
      </c>
      <c r="P785" t="s">
        <v>3727</v>
      </c>
    </row>
    <row r="786" spans="1:16" x14ac:dyDescent="0.45">
      <c r="A786" t="s">
        <v>3728</v>
      </c>
      <c r="B786">
        <v>72</v>
      </c>
      <c r="C786" t="s">
        <v>32</v>
      </c>
      <c r="D786" t="s">
        <v>84</v>
      </c>
      <c r="E786">
        <v>3593.21</v>
      </c>
      <c r="F786">
        <v>14748.91</v>
      </c>
      <c r="G786" t="s">
        <v>104</v>
      </c>
      <c r="H786" s="1">
        <v>45451</v>
      </c>
      <c r="I786" s="1">
        <v>45843</v>
      </c>
      <c r="J786" t="s">
        <v>3729</v>
      </c>
      <c r="K786" t="s">
        <v>35</v>
      </c>
      <c r="L786" t="s">
        <v>22</v>
      </c>
      <c r="M786">
        <v>0.8</v>
      </c>
      <c r="N786" t="s">
        <v>3730</v>
      </c>
      <c r="O786">
        <f>61-446-252-826</f>
        <v>-1463</v>
      </c>
      <c r="P786" t="s">
        <v>3731</v>
      </c>
    </row>
    <row r="787" spans="1:16" x14ac:dyDescent="0.45">
      <c r="A787" t="s">
        <v>3732</v>
      </c>
      <c r="B787">
        <v>46</v>
      </c>
      <c r="C787" t="s">
        <v>17</v>
      </c>
      <c r="D787" t="s">
        <v>33</v>
      </c>
      <c r="E787">
        <v>4682.12</v>
      </c>
      <c r="F787">
        <v>8457.5</v>
      </c>
      <c r="G787" t="s">
        <v>104</v>
      </c>
      <c r="H787" s="1">
        <v>44952</v>
      </c>
      <c r="I787" s="1">
        <v>45287</v>
      </c>
      <c r="J787" t="s">
        <v>3733</v>
      </c>
      <c r="K787" t="s">
        <v>28</v>
      </c>
      <c r="L787" t="s">
        <v>43</v>
      </c>
      <c r="M787">
        <v>0.97</v>
      </c>
      <c r="N787" t="s">
        <v>3734</v>
      </c>
      <c r="O787">
        <v>7642.9459999999999</v>
      </c>
      <c r="P787" t="s">
        <v>3735</v>
      </c>
    </row>
    <row r="788" spans="1:16" x14ac:dyDescent="0.45">
      <c r="A788" t="s">
        <v>3736</v>
      </c>
      <c r="B788">
        <v>71</v>
      </c>
      <c r="C788" t="s">
        <v>26</v>
      </c>
      <c r="D788" t="s">
        <v>41</v>
      </c>
      <c r="E788">
        <v>4390.5600000000004</v>
      </c>
      <c r="F788">
        <v>4833.32</v>
      </c>
      <c r="G788" t="s">
        <v>85</v>
      </c>
      <c r="H788" s="1">
        <v>44891</v>
      </c>
      <c r="I788" s="1">
        <v>45023</v>
      </c>
      <c r="J788" t="s">
        <v>3737</v>
      </c>
      <c r="K788" t="s">
        <v>50</v>
      </c>
      <c r="L788" t="s">
        <v>36</v>
      </c>
      <c r="M788">
        <v>0.99</v>
      </c>
      <c r="N788" t="s">
        <v>3738</v>
      </c>
      <c r="O788">
        <f>61-455-406-217</f>
        <v>-1017</v>
      </c>
      <c r="P788" t="s">
        <v>3739</v>
      </c>
    </row>
    <row r="789" spans="1:16" x14ac:dyDescent="0.45">
      <c r="A789" t="s">
        <v>3740</v>
      </c>
      <c r="B789">
        <v>29</v>
      </c>
      <c r="C789" t="s">
        <v>26</v>
      </c>
      <c r="D789" t="s">
        <v>41</v>
      </c>
      <c r="E789">
        <v>3192.69</v>
      </c>
      <c r="F789">
        <v>19302.580000000002</v>
      </c>
      <c r="G789" t="s">
        <v>104</v>
      </c>
      <c r="H789" s="1">
        <v>45213</v>
      </c>
      <c r="I789" s="1">
        <v>45734</v>
      </c>
      <c r="J789" t="s">
        <v>3741</v>
      </c>
      <c r="K789" t="s">
        <v>28</v>
      </c>
      <c r="L789" t="s">
        <v>43</v>
      </c>
      <c r="M789">
        <v>0.25</v>
      </c>
      <c r="N789" t="s">
        <v>3742</v>
      </c>
      <c r="O789" t="s">
        <v>3743</v>
      </c>
      <c r="P789" t="s">
        <v>3744</v>
      </c>
    </row>
    <row r="790" spans="1:16" x14ac:dyDescent="0.45">
      <c r="A790" t="s">
        <v>3745</v>
      </c>
      <c r="B790">
        <v>40</v>
      </c>
      <c r="C790" t="s">
        <v>83</v>
      </c>
      <c r="D790" t="s">
        <v>84</v>
      </c>
      <c r="E790">
        <v>643.66999999999996</v>
      </c>
      <c r="F790">
        <v>9185.48</v>
      </c>
      <c r="G790" t="s">
        <v>104</v>
      </c>
      <c r="H790" s="1">
        <v>45054</v>
      </c>
      <c r="I790" s="1">
        <v>45418</v>
      </c>
      <c r="J790" t="s">
        <v>3746</v>
      </c>
      <c r="K790" t="s">
        <v>50</v>
      </c>
      <c r="L790" t="s">
        <v>36</v>
      </c>
      <c r="M790">
        <v>0.83</v>
      </c>
      <c r="N790" t="s">
        <v>3747</v>
      </c>
      <c r="O790">
        <v>61788730808</v>
      </c>
      <c r="P790" t="s">
        <v>3748</v>
      </c>
    </row>
    <row r="791" spans="1:16" x14ac:dyDescent="0.45">
      <c r="A791" t="s">
        <v>3749</v>
      </c>
      <c r="B791">
        <v>26</v>
      </c>
      <c r="C791" t="s">
        <v>40</v>
      </c>
      <c r="D791" t="s">
        <v>18</v>
      </c>
      <c r="E791">
        <v>4972.0200000000004</v>
      </c>
      <c r="F791">
        <v>13389.81</v>
      </c>
      <c r="G791" t="s">
        <v>19</v>
      </c>
      <c r="H791" s="1">
        <v>44859</v>
      </c>
      <c r="I791" s="1">
        <v>44974</v>
      </c>
      <c r="J791" t="s">
        <v>3750</v>
      </c>
      <c r="K791" t="s">
        <v>35</v>
      </c>
      <c r="L791" t="s">
        <v>36</v>
      </c>
      <c r="M791">
        <v>0.16</v>
      </c>
      <c r="N791" t="s">
        <v>3751</v>
      </c>
      <c r="O791" t="s">
        <v>3752</v>
      </c>
      <c r="P791" t="s">
        <v>3753</v>
      </c>
    </row>
    <row r="792" spans="1:16" x14ac:dyDescent="0.45">
      <c r="A792" t="s">
        <v>3754</v>
      </c>
      <c r="B792">
        <v>60</v>
      </c>
      <c r="C792" t="s">
        <v>66</v>
      </c>
      <c r="D792" t="s">
        <v>67</v>
      </c>
      <c r="E792">
        <v>3490.81</v>
      </c>
      <c r="F792">
        <v>14534.69</v>
      </c>
      <c r="G792" t="s">
        <v>104</v>
      </c>
      <c r="H792" s="1">
        <v>44969</v>
      </c>
      <c r="I792" s="1">
        <v>45555</v>
      </c>
      <c r="J792" t="s">
        <v>3755</v>
      </c>
      <c r="K792" t="s">
        <v>21</v>
      </c>
      <c r="L792" t="s">
        <v>36</v>
      </c>
      <c r="M792">
        <v>0.32</v>
      </c>
      <c r="N792" t="s">
        <v>3756</v>
      </c>
      <c r="O792">
        <v>61852046215</v>
      </c>
      <c r="P792" t="s">
        <v>3757</v>
      </c>
    </row>
    <row r="793" spans="1:16" x14ac:dyDescent="0.45">
      <c r="A793" t="s">
        <v>3758</v>
      </c>
      <c r="B793">
        <v>60</v>
      </c>
      <c r="C793" t="s">
        <v>40</v>
      </c>
      <c r="D793" t="s">
        <v>84</v>
      </c>
      <c r="E793">
        <v>3794.71</v>
      </c>
      <c r="F793">
        <v>2704.98</v>
      </c>
      <c r="G793" t="s">
        <v>19</v>
      </c>
      <c r="H793" s="1">
        <v>45446</v>
      </c>
      <c r="I793" s="1">
        <v>45826</v>
      </c>
      <c r="J793" t="s">
        <v>3759</v>
      </c>
      <c r="K793" t="s">
        <v>28</v>
      </c>
      <c r="L793" t="s">
        <v>22</v>
      </c>
      <c r="M793">
        <v>0.68</v>
      </c>
      <c r="N793" t="s">
        <v>3760</v>
      </c>
      <c r="O793" t="s">
        <v>3761</v>
      </c>
      <c r="P793" t="s">
        <v>3762</v>
      </c>
    </row>
    <row r="794" spans="1:16" x14ac:dyDescent="0.45">
      <c r="A794" t="s">
        <v>3763</v>
      </c>
      <c r="B794">
        <v>46</v>
      </c>
      <c r="C794" t="s">
        <v>26</v>
      </c>
      <c r="D794" t="s">
        <v>33</v>
      </c>
      <c r="E794">
        <v>4108.7299999999996</v>
      </c>
      <c r="F794">
        <v>8835.0300000000007</v>
      </c>
      <c r="G794" t="s">
        <v>19</v>
      </c>
      <c r="H794" s="1">
        <v>44779</v>
      </c>
      <c r="I794" s="1">
        <v>45744</v>
      </c>
      <c r="J794" t="s">
        <v>3764</v>
      </c>
      <c r="K794" t="s">
        <v>50</v>
      </c>
      <c r="L794" t="s">
        <v>36</v>
      </c>
      <c r="M794">
        <v>0.56999999999999995</v>
      </c>
      <c r="N794" t="s">
        <v>3765</v>
      </c>
      <c r="O794" t="s">
        <v>3766</v>
      </c>
      <c r="P794" t="s">
        <v>3767</v>
      </c>
    </row>
    <row r="795" spans="1:16" x14ac:dyDescent="0.45">
      <c r="A795" t="s">
        <v>3768</v>
      </c>
      <c r="B795">
        <v>47</v>
      </c>
      <c r="C795" t="s">
        <v>48</v>
      </c>
      <c r="D795" t="s">
        <v>41</v>
      </c>
      <c r="E795">
        <v>3693.13</v>
      </c>
      <c r="F795">
        <v>6469.16</v>
      </c>
      <c r="G795" t="s">
        <v>85</v>
      </c>
      <c r="H795" s="1">
        <v>45245</v>
      </c>
      <c r="I795" s="1">
        <v>45270</v>
      </c>
      <c r="J795" t="s">
        <v>3769</v>
      </c>
      <c r="K795" t="s">
        <v>28</v>
      </c>
      <c r="L795" t="s">
        <v>36</v>
      </c>
      <c r="M795">
        <v>0.25</v>
      </c>
      <c r="N795" t="s">
        <v>3770</v>
      </c>
      <c r="O795" t="s">
        <v>3771</v>
      </c>
      <c r="P795" t="s">
        <v>3772</v>
      </c>
    </row>
    <row r="796" spans="1:16" x14ac:dyDescent="0.45">
      <c r="A796" t="s">
        <v>3773</v>
      </c>
      <c r="B796">
        <v>68</v>
      </c>
      <c r="C796" t="s">
        <v>55</v>
      </c>
      <c r="D796" t="s">
        <v>33</v>
      </c>
      <c r="E796">
        <v>517.44000000000005</v>
      </c>
      <c r="F796">
        <v>5007.6499999999996</v>
      </c>
      <c r="G796" t="s">
        <v>19</v>
      </c>
      <c r="H796" s="1">
        <v>45278</v>
      </c>
      <c r="I796" s="1">
        <v>45491</v>
      </c>
      <c r="J796" t="s">
        <v>3774</v>
      </c>
      <c r="K796" t="s">
        <v>50</v>
      </c>
      <c r="L796" t="s">
        <v>36</v>
      </c>
      <c r="M796">
        <v>0.42</v>
      </c>
      <c r="N796" t="s">
        <v>3775</v>
      </c>
      <c r="O796" t="s">
        <v>3776</v>
      </c>
      <c r="P796" t="s">
        <v>3777</v>
      </c>
    </row>
    <row r="797" spans="1:16" x14ac:dyDescent="0.45">
      <c r="A797" t="s">
        <v>3778</v>
      </c>
      <c r="B797">
        <v>67</v>
      </c>
      <c r="C797" t="s">
        <v>32</v>
      </c>
      <c r="D797" t="s">
        <v>41</v>
      </c>
      <c r="E797">
        <v>4936.8100000000004</v>
      </c>
      <c r="F797">
        <v>10434.15</v>
      </c>
      <c r="G797" t="s">
        <v>19</v>
      </c>
      <c r="H797" s="1">
        <v>45262</v>
      </c>
      <c r="I797" s="1">
        <v>45391</v>
      </c>
      <c r="J797" t="s">
        <v>3779</v>
      </c>
      <c r="K797" t="s">
        <v>50</v>
      </c>
      <c r="L797" t="s">
        <v>36</v>
      </c>
      <c r="M797">
        <v>0.24</v>
      </c>
      <c r="N797" t="s">
        <v>3780</v>
      </c>
      <c r="O797" t="s">
        <v>3781</v>
      </c>
      <c r="P797" t="s">
        <v>3782</v>
      </c>
    </row>
    <row r="798" spans="1:16" x14ac:dyDescent="0.45">
      <c r="A798" t="s">
        <v>3783</v>
      </c>
      <c r="B798">
        <v>23</v>
      </c>
      <c r="C798" t="s">
        <v>17</v>
      </c>
      <c r="D798" t="s">
        <v>33</v>
      </c>
      <c r="E798">
        <v>2270.9499999999998</v>
      </c>
      <c r="F798">
        <v>2159.69</v>
      </c>
      <c r="G798" t="s">
        <v>19</v>
      </c>
      <c r="H798" s="1">
        <v>45452</v>
      </c>
      <c r="I798" s="1">
        <v>45825</v>
      </c>
      <c r="J798" t="s">
        <v>3784</v>
      </c>
      <c r="K798" t="s">
        <v>50</v>
      </c>
      <c r="L798" t="s">
        <v>22</v>
      </c>
      <c r="M798">
        <v>0.8</v>
      </c>
      <c r="N798" t="s">
        <v>3785</v>
      </c>
      <c r="O798" t="s">
        <v>3786</v>
      </c>
      <c r="P798" t="s">
        <v>3787</v>
      </c>
    </row>
    <row r="799" spans="1:16" x14ac:dyDescent="0.45">
      <c r="A799" t="s">
        <v>3788</v>
      </c>
      <c r="B799">
        <v>56</v>
      </c>
      <c r="C799" t="s">
        <v>55</v>
      </c>
      <c r="D799" t="s">
        <v>33</v>
      </c>
      <c r="E799">
        <v>2043.48</v>
      </c>
      <c r="F799">
        <v>15343.09</v>
      </c>
      <c r="G799" t="s">
        <v>19</v>
      </c>
      <c r="H799" s="1">
        <v>45444</v>
      </c>
      <c r="I799" s="1">
        <v>45516</v>
      </c>
      <c r="J799" t="s">
        <v>3789</v>
      </c>
      <c r="K799" t="s">
        <v>50</v>
      </c>
      <c r="L799" t="s">
        <v>22</v>
      </c>
      <c r="M799">
        <v>0.76</v>
      </c>
      <c r="N799" t="s">
        <v>3790</v>
      </c>
      <c r="O799" t="s">
        <v>3791</v>
      </c>
      <c r="P799" t="s">
        <v>3792</v>
      </c>
    </row>
    <row r="800" spans="1:16" x14ac:dyDescent="0.45">
      <c r="A800" t="s">
        <v>3793</v>
      </c>
      <c r="B800">
        <v>35</v>
      </c>
      <c r="C800" t="s">
        <v>83</v>
      </c>
      <c r="D800" t="s">
        <v>84</v>
      </c>
      <c r="E800">
        <v>3679.72</v>
      </c>
      <c r="F800">
        <v>17345.11</v>
      </c>
      <c r="G800" t="s">
        <v>104</v>
      </c>
      <c r="H800" s="1">
        <v>45028</v>
      </c>
      <c r="I800" s="1">
        <v>45343</v>
      </c>
      <c r="J800" t="s">
        <v>3794</v>
      </c>
      <c r="K800" t="s">
        <v>28</v>
      </c>
      <c r="L800" t="s">
        <v>22</v>
      </c>
      <c r="M800">
        <v>0.23</v>
      </c>
      <c r="N800" t="s">
        <v>3795</v>
      </c>
      <c r="O800">
        <f>61-8-1112-6061</f>
        <v>-7120</v>
      </c>
      <c r="P800" t="s">
        <v>3796</v>
      </c>
    </row>
    <row r="801" spans="1:16" x14ac:dyDescent="0.45">
      <c r="A801" t="s">
        <v>3797</v>
      </c>
      <c r="B801">
        <v>56</v>
      </c>
      <c r="C801" t="s">
        <v>83</v>
      </c>
      <c r="D801" t="s">
        <v>33</v>
      </c>
      <c r="E801">
        <v>4909.8599999999997</v>
      </c>
      <c r="F801">
        <v>18910.38</v>
      </c>
      <c r="G801" t="s">
        <v>19</v>
      </c>
      <c r="H801" s="1">
        <v>45016</v>
      </c>
      <c r="I801" s="1">
        <v>45017</v>
      </c>
      <c r="J801" t="s">
        <v>3798</v>
      </c>
      <c r="K801" t="s">
        <v>35</v>
      </c>
      <c r="L801" t="s">
        <v>36</v>
      </c>
      <c r="M801">
        <v>0.26</v>
      </c>
      <c r="N801" t="s">
        <v>3799</v>
      </c>
      <c r="O801">
        <v>7852099</v>
      </c>
      <c r="P801" t="s">
        <v>3800</v>
      </c>
    </row>
    <row r="802" spans="1:16" x14ac:dyDescent="0.45">
      <c r="A802" t="s">
        <v>3801</v>
      </c>
      <c r="B802">
        <v>57</v>
      </c>
      <c r="C802" t="s">
        <v>26</v>
      </c>
      <c r="D802" t="s">
        <v>67</v>
      </c>
      <c r="E802">
        <v>4135.72</v>
      </c>
      <c r="F802">
        <v>16165.73</v>
      </c>
      <c r="G802" t="s">
        <v>19</v>
      </c>
      <c r="H802" s="1">
        <v>45369</v>
      </c>
      <c r="I802" s="1">
        <v>45621</v>
      </c>
      <c r="J802" t="s">
        <v>3802</v>
      </c>
      <c r="K802" t="s">
        <v>50</v>
      </c>
      <c r="L802" t="s">
        <v>36</v>
      </c>
      <c r="M802">
        <v>0.55000000000000004</v>
      </c>
      <c r="N802" t="s">
        <v>3803</v>
      </c>
      <c r="O802" t="s">
        <v>3804</v>
      </c>
      <c r="P802" t="s">
        <v>3805</v>
      </c>
    </row>
    <row r="803" spans="1:16" x14ac:dyDescent="0.45">
      <c r="A803" t="s">
        <v>3806</v>
      </c>
      <c r="B803">
        <v>39</v>
      </c>
      <c r="C803" t="s">
        <v>17</v>
      </c>
      <c r="D803" t="s">
        <v>41</v>
      </c>
      <c r="E803">
        <v>3778.93</v>
      </c>
      <c r="F803">
        <v>6952.02</v>
      </c>
      <c r="G803" t="s">
        <v>19</v>
      </c>
      <c r="H803" s="1">
        <v>45377</v>
      </c>
      <c r="I803" s="1">
        <v>45660</v>
      </c>
      <c r="J803" t="s">
        <v>3807</v>
      </c>
      <c r="K803" t="s">
        <v>28</v>
      </c>
      <c r="L803" t="s">
        <v>22</v>
      </c>
      <c r="M803">
        <v>0.91</v>
      </c>
      <c r="N803" t="s">
        <v>3808</v>
      </c>
      <c r="O803" t="s">
        <v>3809</v>
      </c>
      <c r="P803" t="s">
        <v>3810</v>
      </c>
    </row>
    <row r="804" spans="1:16" x14ac:dyDescent="0.45">
      <c r="A804" t="s">
        <v>3811</v>
      </c>
      <c r="B804">
        <v>54</v>
      </c>
      <c r="C804" t="s">
        <v>26</v>
      </c>
      <c r="D804" t="s">
        <v>33</v>
      </c>
      <c r="E804">
        <v>4966.3100000000004</v>
      </c>
      <c r="F804">
        <v>3462.51</v>
      </c>
      <c r="G804" t="s">
        <v>19</v>
      </c>
      <c r="H804" s="1">
        <v>45452</v>
      </c>
      <c r="I804" s="1">
        <v>45864</v>
      </c>
      <c r="J804" t="s">
        <v>3812</v>
      </c>
      <c r="K804" t="s">
        <v>35</v>
      </c>
      <c r="L804" t="s">
        <v>22</v>
      </c>
      <c r="M804">
        <v>0.08</v>
      </c>
      <c r="N804" t="s">
        <v>3813</v>
      </c>
      <c r="O804">
        <f>61-8-9504-3207</f>
        <v>-12658</v>
      </c>
      <c r="P804" t="s">
        <v>3814</v>
      </c>
    </row>
    <row r="805" spans="1:16" x14ac:dyDescent="0.45">
      <c r="A805" t="s">
        <v>3815</v>
      </c>
      <c r="B805">
        <v>27</v>
      </c>
      <c r="C805" t="s">
        <v>48</v>
      </c>
      <c r="D805" t="s">
        <v>84</v>
      </c>
      <c r="E805">
        <v>2476.89</v>
      </c>
      <c r="F805">
        <v>4130.78</v>
      </c>
      <c r="G805" t="s">
        <v>19</v>
      </c>
      <c r="H805" s="1">
        <v>44867</v>
      </c>
      <c r="I805" s="1">
        <v>44950</v>
      </c>
      <c r="J805" t="s">
        <v>3816</v>
      </c>
      <c r="K805" t="s">
        <v>21</v>
      </c>
      <c r="L805" t="s">
        <v>43</v>
      </c>
      <c r="M805">
        <v>0.21</v>
      </c>
      <c r="N805" t="s">
        <v>3817</v>
      </c>
      <c r="O805" t="s">
        <v>3818</v>
      </c>
      <c r="P805" t="s">
        <v>3819</v>
      </c>
    </row>
    <row r="806" spans="1:16" x14ac:dyDescent="0.45">
      <c r="A806" t="s">
        <v>3820</v>
      </c>
      <c r="B806">
        <v>34</v>
      </c>
      <c r="C806" t="s">
        <v>26</v>
      </c>
      <c r="D806" t="s">
        <v>18</v>
      </c>
      <c r="E806">
        <v>1542.14</v>
      </c>
      <c r="F806">
        <v>4924.4799999999996</v>
      </c>
      <c r="G806" t="s">
        <v>19</v>
      </c>
      <c r="H806" s="1">
        <v>45031</v>
      </c>
      <c r="I806" s="1">
        <v>45730</v>
      </c>
      <c r="J806" t="s">
        <v>3821</v>
      </c>
      <c r="K806" t="s">
        <v>35</v>
      </c>
      <c r="L806" t="s">
        <v>36</v>
      </c>
      <c r="M806">
        <v>0.12</v>
      </c>
      <c r="N806" t="s">
        <v>3822</v>
      </c>
      <c r="O806">
        <v>71908076</v>
      </c>
      <c r="P806" t="s">
        <v>3823</v>
      </c>
    </row>
    <row r="807" spans="1:16" x14ac:dyDescent="0.45">
      <c r="A807" t="s">
        <v>3824</v>
      </c>
      <c r="B807">
        <v>49</v>
      </c>
      <c r="C807" t="s">
        <v>66</v>
      </c>
      <c r="D807" t="s">
        <v>41</v>
      </c>
      <c r="E807">
        <v>2677.34</v>
      </c>
      <c r="F807">
        <v>19207.400000000001</v>
      </c>
      <c r="G807" t="s">
        <v>19</v>
      </c>
      <c r="H807" s="1">
        <v>45315</v>
      </c>
      <c r="I807" s="1">
        <v>45367</v>
      </c>
      <c r="J807" t="s">
        <v>3825</v>
      </c>
      <c r="K807" t="s">
        <v>21</v>
      </c>
      <c r="L807" t="s">
        <v>36</v>
      </c>
      <c r="M807">
        <v>0.91</v>
      </c>
      <c r="N807" t="s">
        <v>3826</v>
      </c>
      <c r="O807" t="s">
        <v>3827</v>
      </c>
      <c r="P807" t="s">
        <v>3828</v>
      </c>
    </row>
    <row r="808" spans="1:16" x14ac:dyDescent="0.45">
      <c r="A808" t="s">
        <v>3829</v>
      </c>
      <c r="B808">
        <v>55</v>
      </c>
      <c r="C808" t="s">
        <v>83</v>
      </c>
      <c r="D808" t="s">
        <v>67</v>
      </c>
      <c r="E808">
        <v>321.27999999999997</v>
      </c>
      <c r="F808">
        <v>16173.4</v>
      </c>
      <c r="G808" t="s">
        <v>19</v>
      </c>
      <c r="H808" s="1">
        <v>45421</v>
      </c>
      <c r="I808" s="1">
        <v>45681</v>
      </c>
      <c r="J808" t="s">
        <v>3830</v>
      </c>
      <c r="K808" t="s">
        <v>50</v>
      </c>
      <c r="L808" t="s">
        <v>22</v>
      </c>
      <c r="M808">
        <v>0.28000000000000003</v>
      </c>
      <c r="N808" t="s">
        <v>3831</v>
      </c>
      <c r="O808" t="s">
        <v>3832</v>
      </c>
      <c r="P808" t="s">
        <v>3833</v>
      </c>
    </row>
    <row r="809" spans="1:16" x14ac:dyDescent="0.45">
      <c r="A809" t="s">
        <v>3834</v>
      </c>
      <c r="B809">
        <v>72</v>
      </c>
      <c r="C809" t="s">
        <v>55</v>
      </c>
      <c r="D809" t="s">
        <v>41</v>
      </c>
      <c r="E809">
        <v>320.20999999999998</v>
      </c>
      <c r="F809">
        <v>15211.87</v>
      </c>
      <c r="G809" t="s">
        <v>19</v>
      </c>
      <c r="H809" s="1">
        <v>45455</v>
      </c>
      <c r="I809" s="1">
        <v>45853</v>
      </c>
      <c r="J809" t="s">
        <v>3835</v>
      </c>
      <c r="K809" t="s">
        <v>50</v>
      </c>
      <c r="L809" t="s">
        <v>22</v>
      </c>
      <c r="M809">
        <v>0.37</v>
      </c>
      <c r="N809" t="s">
        <v>3836</v>
      </c>
      <c r="O809" t="s">
        <v>3837</v>
      </c>
      <c r="P809" t="s">
        <v>3838</v>
      </c>
    </row>
    <row r="810" spans="1:16" x14ac:dyDescent="0.45">
      <c r="A810" t="s">
        <v>3839</v>
      </c>
      <c r="B810">
        <v>50</v>
      </c>
      <c r="C810" t="s">
        <v>32</v>
      </c>
      <c r="D810" t="s">
        <v>18</v>
      </c>
      <c r="E810">
        <v>3212.17</v>
      </c>
      <c r="F810">
        <v>14970.25</v>
      </c>
      <c r="G810" t="s">
        <v>19</v>
      </c>
      <c r="H810" s="1">
        <v>45316</v>
      </c>
      <c r="I810" s="1">
        <v>45349</v>
      </c>
      <c r="J810" t="s">
        <v>3840</v>
      </c>
      <c r="K810" t="s">
        <v>28</v>
      </c>
      <c r="L810" t="s">
        <v>36</v>
      </c>
      <c r="M810">
        <v>0.2</v>
      </c>
      <c r="N810" t="s">
        <v>3841</v>
      </c>
      <c r="O810" t="s">
        <v>3842</v>
      </c>
      <c r="P810" t="s">
        <v>3843</v>
      </c>
    </row>
    <row r="811" spans="1:16" x14ac:dyDescent="0.45">
      <c r="A811" t="s">
        <v>3844</v>
      </c>
      <c r="B811">
        <v>67</v>
      </c>
      <c r="C811" t="s">
        <v>66</v>
      </c>
      <c r="D811" t="s">
        <v>33</v>
      </c>
      <c r="E811">
        <v>1502.69</v>
      </c>
      <c r="F811">
        <v>1899.52</v>
      </c>
      <c r="G811" t="s">
        <v>19</v>
      </c>
      <c r="H811" s="1">
        <v>45503</v>
      </c>
      <c r="I811" s="1">
        <v>45681</v>
      </c>
      <c r="J811" t="s">
        <v>3845</v>
      </c>
      <c r="K811" t="s">
        <v>35</v>
      </c>
      <c r="L811" t="s">
        <v>36</v>
      </c>
      <c r="M811">
        <v>0.42</v>
      </c>
      <c r="N811" t="s">
        <v>3846</v>
      </c>
      <c r="O811" t="s">
        <v>3847</v>
      </c>
      <c r="P811" t="s">
        <v>3848</v>
      </c>
    </row>
    <row r="812" spans="1:16" x14ac:dyDescent="0.45">
      <c r="A812" t="s">
        <v>3849</v>
      </c>
      <c r="B812">
        <v>74</v>
      </c>
      <c r="C812" t="s">
        <v>40</v>
      </c>
      <c r="D812" t="s">
        <v>84</v>
      </c>
      <c r="E812">
        <v>4598.78</v>
      </c>
      <c r="F812">
        <v>16319.28</v>
      </c>
      <c r="G812" t="s">
        <v>19</v>
      </c>
      <c r="H812" s="1">
        <v>45457</v>
      </c>
      <c r="I812" s="1">
        <v>45474</v>
      </c>
      <c r="J812" t="s">
        <v>3850</v>
      </c>
      <c r="K812" t="s">
        <v>35</v>
      </c>
      <c r="L812" t="s">
        <v>36</v>
      </c>
      <c r="M812">
        <v>0.98</v>
      </c>
      <c r="N812" t="s">
        <v>3851</v>
      </c>
      <c r="O812" t="s">
        <v>3852</v>
      </c>
      <c r="P812" t="s">
        <v>3853</v>
      </c>
    </row>
    <row r="813" spans="1:16" x14ac:dyDescent="0.45">
      <c r="A813" t="s">
        <v>3854</v>
      </c>
      <c r="B813">
        <v>48</v>
      </c>
      <c r="C813" t="s">
        <v>32</v>
      </c>
      <c r="D813" t="s">
        <v>41</v>
      </c>
      <c r="E813">
        <v>3156.08</v>
      </c>
      <c r="F813">
        <v>19147.41</v>
      </c>
      <c r="G813" t="s">
        <v>19</v>
      </c>
      <c r="H813" s="1">
        <v>45300</v>
      </c>
      <c r="I813" s="1">
        <v>45562</v>
      </c>
      <c r="J813" t="s">
        <v>3855</v>
      </c>
      <c r="K813" t="s">
        <v>21</v>
      </c>
      <c r="L813" t="s">
        <v>43</v>
      </c>
      <c r="M813">
        <v>0.63</v>
      </c>
      <c r="N813" t="s">
        <v>3856</v>
      </c>
      <c r="O813">
        <v>61383210334</v>
      </c>
      <c r="P813" t="s">
        <v>3857</v>
      </c>
    </row>
    <row r="814" spans="1:16" x14ac:dyDescent="0.45">
      <c r="A814" t="s">
        <v>3858</v>
      </c>
      <c r="B814">
        <v>65</v>
      </c>
      <c r="C814" t="s">
        <v>83</v>
      </c>
      <c r="D814" t="s">
        <v>33</v>
      </c>
      <c r="E814">
        <v>4239.3900000000003</v>
      </c>
      <c r="F814">
        <v>15360.46</v>
      </c>
      <c r="G814" t="s">
        <v>104</v>
      </c>
      <c r="H814" s="1">
        <v>45297</v>
      </c>
      <c r="I814" s="1">
        <v>45737</v>
      </c>
      <c r="J814" t="s">
        <v>3859</v>
      </c>
      <c r="K814" t="s">
        <v>28</v>
      </c>
      <c r="L814" t="s">
        <v>36</v>
      </c>
      <c r="M814">
        <v>0.36</v>
      </c>
      <c r="N814" t="s">
        <v>3860</v>
      </c>
      <c r="O814" t="s">
        <v>3861</v>
      </c>
      <c r="P814" t="s">
        <v>3862</v>
      </c>
    </row>
    <row r="815" spans="1:16" x14ac:dyDescent="0.45">
      <c r="A815" t="s">
        <v>3863</v>
      </c>
      <c r="B815">
        <v>34</v>
      </c>
      <c r="C815" t="s">
        <v>66</v>
      </c>
      <c r="D815" t="s">
        <v>18</v>
      </c>
      <c r="E815">
        <v>374.35</v>
      </c>
      <c r="F815">
        <v>7039.44</v>
      </c>
      <c r="G815" t="s">
        <v>19</v>
      </c>
      <c r="H815" s="1">
        <v>45002</v>
      </c>
      <c r="I815" s="1">
        <v>45264</v>
      </c>
      <c r="J815" t="s">
        <v>3864</v>
      </c>
      <c r="K815" t="s">
        <v>28</v>
      </c>
      <c r="L815" t="s">
        <v>43</v>
      </c>
      <c r="M815">
        <v>0.14000000000000001</v>
      </c>
      <c r="N815" t="s">
        <v>3865</v>
      </c>
      <c r="O815" t="s">
        <v>3866</v>
      </c>
      <c r="P815" t="s">
        <v>3867</v>
      </c>
    </row>
    <row r="816" spans="1:16" x14ac:dyDescent="0.45">
      <c r="A816" t="s">
        <v>3868</v>
      </c>
      <c r="B816">
        <v>59</v>
      </c>
      <c r="C816" t="s">
        <v>66</v>
      </c>
      <c r="D816" t="s">
        <v>18</v>
      </c>
      <c r="E816">
        <v>4897.51</v>
      </c>
      <c r="F816">
        <v>4181.87</v>
      </c>
      <c r="G816" t="s">
        <v>85</v>
      </c>
      <c r="H816" s="1">
        <v>45296</v>
      </c>
      <c r="I816" s="1">
        <v>45481</v>
      </c>
      <c r="J816" t="s">
        <v>3869</v>
      </c>
      <c r="K816" t="s">
        <v>28</v>
      </c>
      <c r="L816" t="s">
        <v>43</v>
      </c>
      <c r="M816">
        <v>0.72</v>
      </c>
      <c r="N816" t="s">
        <v>3870</v>
      </c>
      <c r="O816">
        <v>61840247232</v>
      </c>
      <c r="P816" t="s">
        <v>3871</v>
      </c>
    </row>
    <row r="817" spans="1:16" x14ac:dyDescent="0.45">
      <c r="A817" t="s">
        <v>3872</v>
      </c>
      <c r="B817">
        <v>57</v>
      </c>
      <c r="C817" t="s">
        <v>48</v>
      </c>
      <c r="D817" t="s">
        <v>33</v>
      </c>
      <c r="E817">
        <v>2298.2600000000002</v>
      </c>
      <c r="F817">
        <v>3664.39</v>
      </c>
      <c r="G817" t="s">
        <v>19</v>
      </c>
      <c r="H817" s="1">
        <v>45334</v>
      </c>
      <c r="I817" s="1">
        <v>45788</v>
      </c>
      <c r="J817" t="s">
        <v>3873</v>
      </c>
      <c r="K817" t="s">
        <v>35</v>
      </c>
      <c r="L817" t="s">
        <v>22</v>
      </c>
      <c r="M817">
        <v>0.3</v>
      </c>
      <c r="N817" t="s">
        <v>3874</v>
      </c>
      <c r="O817">
        <v>61314931324</v>
      </c>
      <c r="P817" t="s">
        <v>3875</v>
      </c>
    </row>
    <row r="818" spans="1:16" x14ac:dyDescent="0.45">
      <c r="A818" t="s">
        <v>3876</v>
      </c>
      <c r="B818">
        <v>69</v>
      </c>
      <c r="C818" t="s">
        <v>26</v>
      </c>
      <c r="D818" t="s">
        <v>67</v>
      </c>
      <c r="E818">
        <v>1255.47</v>
      </c>
      <c r="F818">
        <v>8876.67</v>
      </c>
      <c r="G818" t="s">
        <v>104</v>
      </c>
      <c r="H818" s="1">
        <v>45429</v>
      </c>
      <c r="I818" s="1">
        <v>45805</v>
      </c>
      <c r="J818" t="s">
        <v>3877</v>
      </c>
      <c r="K818" t="s">
        <v>35</v>
      </c>
      <c r="L818" t="s">
        <v>36</v>
      </c>
      <c r="M818">
        <v>0.99</v>
      </c>
      <c r="N818" t="s">
        <v>3878</v>
      </c>
      <c r="O818" t="s">
        <v>3879</v>
      </c>
      <c r="P818" t="s">
        <v>3880</v>
      </c>
    </row>
    <row r="819" spans="1:16" x14ac:dyDescent="0.45">
      <c r="A819" t="s">
        <v>3881</v>
      </c>
      <c r="B819">
        <v>67</v>
      </c>
      <c r="C819" t="s">
        <v>66</v>
      </c>
      <c r="D819" t="s">
        <v>67</v>
      </c>
      <c r="E819">
        <v>2738.08</v>
      </c>
      <c r="F819">
        <v>15816.59</v>
      </c>
      <c r="G819" t="s">
        <v>19</v>
      </c>
      <c r="H819" s="1">
        <v>45029</v>
      </c>
      <c r="I819" s="1">
        <v>45758</v>
      </c>
      <c r="J819" t="s">
        <v>3882</v>
      </c>
      <c r="K819" t="s">
        <v>35</v>
      </c>
      <c r="L819" t="s">
        <v>43</v>
      </c>
      <c r="M819">
        <v>0.46</v>
      </c>
      <c r="N819" t="s">
        <v>3883</v>
      </c>
      <c r="O819" t="s">
        <v>3884</v>
      </c>
      <c r="P819" t="s">
        <v>3885</v>
      </c>
    </row>
    <row r="820" spans="1:16" x14ac:dyDescent="0.45">
      <c r="A820" t="s">
        <v>3886</v>
      </c>
      <c r="B820">
        <v>54</v>
      </c>
      <c r="C820" t="s">
        <v>26</v>
      </c>
      <c r="D820" t="s">
        <v>33</v>
      </c>
      <c r="E820">
        <v>1829.77</v>
      </c>
      <c r="F820">
        <v>17848.03</v>
      </c>
      <c r="G820" t="s">
        <v>19</v>
      </c>
      <c r="H820" s="1">
        <v>45409</v>
      </c>
      <c r="I820" s="1">
        <v>45750</v>
      </c>
      <c r="J820" t="s">
        <v>3887</v>
      </c>
      <c r="K820" t="s">
        <v>21</v>
      </c>
      <c r="L820" t="s">
        <v>36</v>
      </c>
      <c r="M820">
        <v>0.52</v>
      </c>
      <c r="N820" t="s">
        <v>3888</v>
      </c>
      <c r="O820" t="s">
        <v>3889</v>
      </c>
      <c r="P820" t="s">
        <v>3890</v>
      </c>
    </row>
    <row r="821" spans="1:16" x14ac:dyDescent="0.45">
      <c r="A821" t="s">
        <v>3891</v>
      </c>
      <c r="B821">
        <v>44</v>
      </c>
      <c r="C821" t="s">
        <v>48</v>
      </c>
      <c r="D821" t="s">
        <v>33</v>
      </c>
      <c r="E821">
        <v>1641.53</v>
      </c>
      <c r="F821">
        <v>10470.02</v>
      </c>
      <c r="G821" t="s">
        <v>85</v>
      </c>
      <c r="H821" s="1">
        <v>44982</v>
      </c>
      <c r="I821" s="1">
        <v>45635</v>
      </c>
      <c r="J821" t="s">
        <v>3892</v>
      </c>
      <c r="K821" t="s">
        <v>35</v>
      </c>
      <c r="L821" t="s">
        <v>36</v>
      </c>
      <c r="M821">
        <v>0.36</v>
      </c>
      <c r="N821" t="s">
        <v>3893</v>
      </c>
      <c r="O821" t="s">
        <v>3894</v>
      </c>
      <c r="P821" t="s">
        <v>3895</v>
      </c>
    </row>
    <row r="822" spans="1:16" x14ac:dyDescent="0.45">
      <c r="A822" t="s">
        <v>3896</v>
      </c>
      <c r="B822">
        <v>28</v>
      </c>
      <c r="C822" t="s">
        <v>83</v>
      </c>
      <c r="D822" t="s">
        <v>33</v>
      </c>
      <c r="E822">
        <v>3322.43</v>
      </c>
      <c r="F822">
        <v>13664.59</v>
      </c>
      <c r="G822" t="s">
        <v>104</v>
      </c>
      <c r="H822" s="1">
        <v>44825</v>
      </c>
      <c r="I822" s="1">
        <v>44977</v>
      </c>
      <c r="J822" t="s">
        <v>3897</v>
      </c>
      <c r="K822" t="s">
        <v>28</v>
      </c>
      <c r="L822" t="s">
        <v>43</v>
      </c>
      <c r="M822">
        <v>0.25</v>
      </c>
      <c r="N822" t="s">
        <v>3898</v>
      </c>
      <c r="O822" t="s">
        <v>3899</v>
      </c>
      <c r="P822" t="s">
        <v>3900</v>
      </c>
    </row>
    <row r="823" spans="1:16" x14ac:dyDescent="0.45">
      <c r="A823" t="s">
        <v>3901</v>
      </c>
      <c r="B823">
        <v>26</v>
      </c>
      <c r="C823" t="s">
        <v>66</v>
      </c>
      <c r="D823" t="s">
        <v>33</v>
      </c>
      <c r="E823">
        <v>3005.67</v>
      </c>
      <c r="F823">
        <v>16292.86</v>
      </c>
      <c r="G823" t="s">
        <v>104</v>
      </c>
      <c r="H823" s="1">
        <v>45110</v>
      </c>
      <c r="I823" s="1">
        <v>45755</v>
      </c>
      <c r="J823" t="s">
        <v>3902</v>
      </c>
      <c r="K823" t="s">
        <v>28</v>
      </c>
      <c r="L823" t="s">
        <v>43</v>
      </c>
      <c r="M823">
        <v>0.79</v>
      </c>
      <c r="N823" t="s">
        <v>3903</v>
      </c>
      <c r="O823" t="s">
        <v>3904</v>
      </c>
      <c r="P823" t="s">
        <v>3905</v>
      </c>
    </row>
    <row r="824" spans="1:16" x14ac:dyDescent="0.45">
      <c r="A824" t="s">
        <v>3906</v>
      </c>
      <c r="B824">
        <v>42</v>
      </c>
      <c r="C824" t="s">
        <v>26</v>
      </c>
      <c r="D824" t="s">
        <v>84</v>
      </c>
      <c r="E824">
        <v>731.18</v>
      </c>
      <c r="F824">
        <v>18575.48</v>
      </c>
      <c r="G824" t="s">
        <v>104</v>
      </c>
      <c r="H824" s="1">
        <v>44956</v>
      </c>
      <c r="I824" s="1">
        <v>44972</v>
      </c>
      <c r="J824" t="s">
        <v>3907</v>
      </c>
      <c r="K824" t="s">
        <v>28</v>
      </c>
      <c r="L824" t="s">
        <v>43</v>
      </c>
      <c r="M824">
        <v>0.73</v>
      </c>
      <c r="N824" t="s">
        <v>3908</v>
      </c>
      <c r="O824" t="s">
        <v>3909</v>
      </c>
      <c r="P824" t="s">
        <v>3910</v>
      </c>
    </row>
    <row r="825" spans="1:16" x14ac:dyDescent="0.45">
      <c r="A825" t="s">
        <v>3911</v>
      </c>
      <c r="B825">
        <v>27</v>
      </c>
      <c r="C825" t="s">
        <v>26</v>
      </c>
      <c r="D825" t="s">
        <v>18</v>
      </c>
      <c r="E825">
        <v>2545.9299999999998</v>
      </c>
      <c r="F825">
        <v>1859.87</v>
      </c>
      <c r="G825" t="s">
        <v>19</v>
      </c>
      <c r="H825" s="1">
        <v>45188</v>
      </c>
      <c r="I825" s="1">
        <v>45245</v>
      </c>
      <c r="J825" t="s">
        <v>3912</v>
      </c>
      <c r="K825" t="s">
        <v>35</v>
      </c>
      <c r="L825" t="s">
        <v>22</v>
      </c>
      <c r="M825">
        <v>0.03</v>
      </c>
      <c r="N825" t="s">
        <v>3913</v>
      </c>
      <c r="O825" t="s">
        <v>3914</v>
      </c>
      <c r="P825" t="s">
        <v>3915</v>
      </c>
    </row>
    <row r="826" spans="1:16" x14ac:dyDescent="0.45">
      <c r="A826" t="s">
        <v>3916</v>
      </c>
      <c r="B826">
        <v>66</v>
      </c>
      <c r="C826" t="s">
        <v>40</v>
      </c>
      <c r="D826" t="s">
        <v>67</v>
      </c>
      <c r="E826">
        <v>1899.23</v>
      </c>
      <c r="F826">
        <v>15302.12</v>
      </c>
      <c r="G826" t="s">
        <v>19</v>
      </c>
      <c r="H826" s="1">
        <v>45436</v>
      </c>
      <c r="I826" s="1">
        <v>45752</v>
      </c>
      <c r="J826" t="s">
        <v>3917</v>
      </c>
      <c r="K826" t="s">
        <v>35</v>
      </c>
      <c r="L826" t="s">
        <v>43</v>
      </c>
      <c r="M826">
        <v>0.98</v>
      </c>
      <c r="N826" t="s">
        <v>3918</v>
      </c>
      <c r="O826">
        <f>61-8-5517-4219</f>
        <v>-9683</v>
      </c>
      <c r="P826" t="s">
        <v>3919</v>
      </c>
    </row>
    <row r="827" spans="1:16" x14ac:dyDescent="0.45">
      <c r="A827" t="s">
        <v>3920</v>
      </c>
      <c r="B827">
        <v>51</v>
      </c>
      <c r="C827" t="s">
        <v>83</v>
      </c>
      <c r="D827" t="s">
        <v>84</v>
      </c>
      <c r="E827">
        <v>1728.06</v>
      </c>
      <c r="F827">
        <v>3900.71</v>
      </c>
      <c r="G827" t="s">
        <v>85</v>
      </c>
      <c r="H827" s="1">
        <v>45419</v>
      </c>
      <c r="I827" s="1">
        <v>45614</v>
      </c>
      <c r="J827" t="s">
        <v>3921</v>
      </c>
      <c r="K827" t="s">
        <v>28</v>
      </c>
      <c r="L827" t="s">
        <v>36</v>
      </c>
      <c r="M827">
        <v>0.85</v>
      </c>
      <c r="N827" t="s">
        <v>3922</v>
      </c>
      <c r="O827" t="s">
        <v>3923</v>
      </c>
      <c r="P827" t="s">
        <v>3924</v>
      </c>
    </row>
    <row r="828" spans="1:16" x14ac:dyDescent="0.45">
      <c r="A828" t="s">
        <v>3925</v>
      </c>
      <c r="B828">
        <v>47</v>
      </c>
      <c r="C828" t="s">
        <v>48</v>
      </c>
      <c r="D828" t="s">
        <v>67</v>
      </c>
      <c r="E828">
        <v>988.14</v>
      </c>
      <c r="F828">
        <v>17386.21</v>
      </c>
      <c r="G828" t="s">
        <v>85</v>
      </c>
      <c r="H828" s="1">
        <v>45167</v>
      </c>
      <c r="I828" s="1">
        <v>45850</v>
      </c>
      <c r="J828" t="s">
        <v>3926</v>
      </c>
      <c r="K828" t="s">
        <v>28</v>
      </c>
      <c r="L828" t="s">
        <v>36</v>
      </c>
      <c r="M828">
        <v>0.88</v>
      </c>
      <c r="N828" t="s">
        <v>3927</v>
      </c>
      <c r="O828">
        <v>61751951506</v>
      </c>
      <c r="P828" t="s">
        <v>3928</v>
      </c>
    </row>
    <row r="829" spans="1:16" x14ac:dyDescent="0.45">
      <c r="A829" t="s">
        <v>3929</v>
      </c>
      <c r="B829">
        <v>49</v>
      </c>
      <c r="C829" t="s">
        <v>40</v>
      </c>
      <c r="D829" t="s">
        <v>67</v>
      </c>
      <c r="E829">
        <v>1051.07</v>
      </c>
      <c r="F829">
        <v>3971.22</v>
      </c>
      <c r="G829" t="s">
        <v>19</v>
      </c>
      <c r="H829" s="1">
        <v>45154</v>
      </c>
      <c r="I829" s="1">
        <v>45693</v>
      </c>
      <c r="J829" t="s">
        <v>3930</v>
      </c>
      <c r="K829" t="s">
        <v>21</v>
      </c>
      <c r="L829" t="s">
        <v>43</v>
      </c>
      <c r="M829">
        <v>0.12</v>
      </c>
      <c r="N829" t="s">
        <v>3931</v>
      </c>
      <c r="O829">
        <v>7175.3150999999998</v>
      </c>
      <c r="P829" t="s">
        <v>3932</v>
      </c>
    </row>
    <row r="830" spans="1:16" x14ac:dyDescent="0.45">
      <c r="A830" t="s">
        <v>3933</v>
      </c>
      <c r="B830">
        <v>21</v>
      </c>
      <c r="C830" t="s">
        <v>55</v>
      </c>
      <c r="D830" t="s">
        <v>33</v>
      </c>
      <c r="E830">
        <v>2707.93</v>
      </c>
      <c r="F830">
        <v>2693.67</v>
      </c>
      <c r="G830" t="s">
        <v>85</v>
      </c>
      <c r="H830" s="1">
        <v>44791</v>
      </c>
      <c r="I830" s="1">
        <v>45479</v>
      </c>
      <c r="J830" t="s">
        <v>3934</v>
      </c>
      <c r="K830" t="s">
        <v>21</v>
      </c>
      <c r="L830" t="s">
        <v>43</v>
      </c>
      <c r="M830">
        <v>0.74</v>
      </c>
      <c r="N830" t="s">
        <v>3935</v>
      </c>
      <c r="O830" t="s">
        <v>3936</v>
      </c>
      <c r="P830" t="s">
        <v>3937</v>
      </c>
    </row>
    <row r="831" spans="1:16" x14ac:dyDescent="0.45">
      <c r="A831" t="s">
        <v>3938</v>
      </c>
      <c r="B831">
        <v>28</v>
      </c>
      <c r="C831" t="s">
        <v>66</v>
      </c>
      <c r="D831" t="s">
        <v>33</v>
      </c>
      <c r="E831">
        <v>1125.79</v>
      </c>
      <c r="F831">
        <v>18099.04</v>
      </c>
      <c r="G831" t="s">
        <v>104</v>
      </c>
      <c r="H831" s="1">
        <v>45329</v>
      </c>
      <c r="I831" s="1">
        <v>45528</v>
      </c>
      <c r="J831" t="s">
        <v>3939</v>
      </c>
      <c r="K831" t="s">
        <v>28</v>
      </c>
      <c r="L831" t="s">
        <v>43</v>
      </c>
      <c r="M831">
        <v>0.15</v>
      </c>
      <c r="N831" t="s">
        <v>3940</v>
      </c>
      <c r="O831" t="s">
        <v>3941</v>
      </c>
      <c r="P831" t="s">
        <v>3942</v>
      </c>
    </row>
    <row r="832" spans="1:16" x14ac:dyDescent="0.45">
      <c r="A832" t="s">
        <v>3943</v>
      </c>
      <c r="B832">
        <v>66</v>
      </c>
      <c r="C832" t="s">
        <v>48</v>
      </c>
      <c r="D832" t="s">
        <v>67</v>
      </c>
      <c r="E832">
        <v>2199.4499999999998</v>
      </c>
      <c r="F832">
        <v>7281.68</v>
      </c>
      <c r="G832" t="s">
        <v>85</v>
      </c>
      <c r="H832" s="1">
        <v>45028</v>
      </c>
      <c r="I832" s="1">
        <v>45788</v>
      </c>
      <c r="J832" t="s">
        <v>3944</v>
      </c>
      <c r="K832" t="s">
        <v>21</v>
      </c>
      <c r="L832" t="s">
        <v>22</v>
      </c>
      <c r="M832">
        <v>0.95</v>
      </c>
      <c r="N832" t="s">
        <v>3945</v>
      </c>
      <c r="O832" t="s">
        <v>3946</v>
      </c>
      <c r="P832" t="s">
        <v>3947</v>
      </c>
    </row>
    <row r="833" spans="1:16" x14ac:dyDescent="0.45">
      <c r="A833" t="s">
        <v>3948</v>
      </c>
      <c r="B833">
        <v>49</v>
      </c>
      <c r="C833" t="s">
        <v>17</v>
      </c>
      <c r="D833" t="s">
        <v>33</v>
      </c>
      <c r="E833">
        <v>2462.94</v>
      </c>
      <c r="F833">
        <v>19883.599999999999</v>
      </c>
      <c r="G833" t="s">
        <v>19</v>
      </c>
      <c r="H833" s="1">
        <v>45231</v>
      </c>
      <c r="I833" s="1">
        <v>45789</v>
      </c>
      <c r="J833" t="s">
        <v>3949</v>
      </c>
      <c r="K833" t="s">
        <v>21</v>
      </c>
      <c r="L833" t="s">
        <v>36</v>
      </c>
      <c r="M833">
        <v>0.67</v>
      </c>
      <c r="N833" t="s">
        <v>3950</v>
      </c>
      <c r="O833">
        <v>324703925</v>
      </c>
      <c r="P833" t="s">
        <v>3951</v>
      </c>
    </row>
    <row r="834" spans="1:16" x14ac:dyDescent="0.45">
      <c r="A834" t="s">
        <v>3952</v>
      </c>
      <c r="B834">
        <v>45</v>
      </c>
      <c r="C834" t="s">
        <v>17</v>
      </c>
      <c r="D834" t="s">
        <v>67</v>
      </c>
      <c r="E834">
        <v>4774.5600000000004</v>
      </c>
      <c r="F834">
        <v>7807.24</v>
      </c>
      <c r="G834" t="s">
        <v>19</v>
      </c>
      <c r="H834" s="1">
        <v>45108</v>
      </c>
      <c r="I834" s="1">
        <v>45238</v>
      </c>
      <c r="J834" t="s">
        <v>3953</v>
      </c>
      <c r="K834" t="s">
        <v>35</v>
      </c>
      <c r="L834" t="s">
        <v>43</v>
      </c>
      <c r="M834">
        <v>0.96</v>
      </c>
      <c r="N834" t="s">
        <v>3954</v>
      </c>
      <c r="O834">
        <v>238335864</v>
      </c>
      <c r="P834" t="s">
        <v>3955</v>
      </c>
    </row>
    <row r="835" spans="1:16" x14ac:dyDescent="0.45">
      <c r="A835" t="s">
        <v>3956</v>
      </c>
      <c r="B835">
        <v>51</v>
      </c>
      <c r="C835" t="s">
        <v>40</v>
      </c>
      <c r="D835" t="s">
        <v>67</v>
      </c>
      <c r="E835">
        <v>2095.52</v>
      </c>
      <c r="F835">
        <v>3767.1</v>
      </c>
      <c r="G835" t="s">
        <v>19</v>
      </c>
      <c r="H835" s="1">
        <v>45182</v>
      </c>
      <c r="I835" s="1">
        <v>45521</v>
      </c>
      <c r="J835" t="s">
        <v>3957</v>
      </c>
      <c r="K835" t="s">
        <v>35</v>
      </c>
      <c r="L835" t="s">
        <v>36</v>
      </c>
      <c r="M835">
        <v>0.13</v>
      </c>
      <c r="N835" t="s">
        <v>3958</v>
      </c>
      <c r="O835">
        <f>61-7-1011-4083</f>
        <v>-5040</v>
      </c>
      <c r="P835" t="s">
        <v>3959</v>
      </c>
    </row>
    <row r="836" spans="1:16" x14ac:dyDescent="0.45">
      <c r="A836" t="s">
        <v>3960</v>
      </c>
      <c r="B836">
        <v>57</v>
      </c>
      <c r="C836" t="s">
        <v>48</v>
      </c>
      <c r="D836" t="s">
        <v>84</v>
      </c>
      <c r="E836">
        <v>3678.29</v>
      </c>
      <c r="F836">
        <v>13335.28</v>
      </c>
      <c r="G836" t="s">
        <v>85</v>
      </c>
      <c r="H836" s="1">
        <v>44950</v>
      </c>
      <c r="I836" s="1">
        <v>45828</v>
      </c>
      <c r="J836" t="s">
        <v>3961</v>
      </c>
      <c r="K836" t="s">
        <v>21</v>
      </c>
      <c r="L836" t="s">
        <v>36</v>
      </c>
      <c r="M836">
        <v>0.56999999999999995</v>
      </c>
      <c r="N836" t="s">
        <v>3962</v>
      </c>
      <c r="O836" t="s">
        <v>3963</v>
      </c>
      <c r="P836" t="s">
        <v>3964</v>
      </c>
    </row>
    <row r="837" spans="1:16" x14ac:dyDescent="0.45">
      <c r="A837" t="s">
        <v>3965</v>
      </c>
      <c r="B837">
        <v>26</v>
      </c>
      <c r="C837" t="s">
        <v>83</v>
      </c>
      <c r="D837" t="s">
        <v>84</v>
      </c>
      <c r="E837">
        <v>4752.3999999999996</v>
      </c>
      <c r="F837">
        <v>6246.66</v>
      </c>
      <c r="G837" t="s">
        <v>19</v>
      </c>
      <c r="H837" s="1">
        <v>45181</v>
      </c>
      <c r="I837" s="1">
        <v>45615</v>
      </c>
      <c r="J837" t="s">
        <v>3966</v>
      </c>
      <c r="K837" t="s">
        <v>50</v>
      </c>
      <c r="L837" t="s">
        <v>22</v>
      </c>
      <c r="M837">
        <v>0.42</v>
      </c>
      <c r="N837" t="s">
        <v>3967</v>
      </c>
      <c r="O837" t="s">
        <v>3968</v>
      </c>
      <c r="P837" t="s">
        <v>3969</v>
      </c>
    </row>
    <row r="838" spans="1:16" x14ac:dyDescent="0.45">
      <c r="A838" t="s">
        <v>3970</v>
      </c>
      <c r="B838">
        <v>30</v>
      </c>
      <c r="C838" t="s">
        <v>40</v>
      </c>
      <c r="D838" t="s">
        <v>33</v>
      </c>
      <c r="E838">
        <v>529.57000000000005</v>
      </c>
      <c r="F838">
        <v>6193.97</v>
      </c>
      <c r="G838" t="s">
        <v>19</v>
      </c>
      <c r="H838" s="1">
        <v>44841</v>
      </c>
      <c r="I838" s="1">
        <v>45742</v>
      </c>
      <c r="J838" t="s">
        <v>3971</v>
      </c>
      <c r="K838" t="s">
        <v>50</v>
      </c>
      <c r="L838" t="s">
        <v>36</v>
      </c>
      <c r="M838">
        <v>0.36</v>
      </c>
      <c r="N838" t="s">
        <v>3972</v>
      </c>
      <c r="O838" t="s">
        <v>3973</v>
      </c>
      <c r="P838" t="s">
        <v>3974</v>
      </c>
    </row>
    <row r="839" spans="1:16" x14ac:dyDescent="0.45">
      <c r="A839" t="s">
        <v>3975</v>
      </c>
      <c r="B839">
        <v>33</v>
      </c>
      <c r="C839" t="s">
        <v>83</v>
      </c>
      <c r="D839" t="s">
        <v>18</v>
      </c>
      <c r="E839">
        <v>3990.43</v>
      </c>
      <c r="F839">
        <v>7659.66</v>
      </c>
      <c r="G839" t="s">
        <v>104</v>
      </c>
      <c r="H839" s="1">
        <v>44838</v>
      </c>
      <c r="I839" s="1">
        <v>45721</v>
      </c>
      <c r="J839" t="s">
        <v>3976</v>
      </c>
      <c r="K839" t="s">
        <v>21</v>
      </c>
      <c r="L839" t="s">
        <v>43</v>
      </c>
      <c r="M839">
        <v>0.26</v>
      </c>
      <c r="N839" t="s">
        <v>3977</v>
      </c>
      <c r="O839" t="s">
        <v>3978</v>
      </c>
      <c r="P839" t="s">
        <v>3979</v>
      </c>
    </row>
    <row r="840" spans="1:16" x14ac:dyDescent="0.45">
      <c r="A840" t="s">
        <v>3123</v>
      </c>
      <c r="B840">
        <v>26</v>
      </c>
      <c r="C840" t="s">
        <v>17</v>
      </c>
      <c r="D840" t="s">
        <v>41</v>
      </c>
      <c r="E840">
        <v>2522.1799999999998</v>
      </c>
      <c r="F840">
        <v>14698.83</v>
      </c>
      <c r="G840" t="s">
        <v>104</v>
      </c>
      <c r="H840" s="1">
        <v>44915</v>
      </c>
      <c r="I840" s="1">
        <v>45708</v>
      </c>
      <c r="J840" t="s">
        <v>3980</v>
      </c>
      <c r="K840" t="s">
        <v>35</v>
      </c>
      <c r="L840" t="s">
        <v>36</v>
      </c>
      <c r="M840">
        <v>0.99</v>
      </c>
      <c r="N840" t="s">
        <v>3981</v>
      </c>
      <c r="O840" t="s">
        <v>3982</v>
      </c>
      <c r="P840" t="s">
        <v>3983</v>
      </c>
    </row>
    <row r="841" spans="1:16" x14ac:dyDescent="0.45">
      <c r="A841" t="s">
        <v>3984</v>
      </c>
      <c r="B841">
        <v>55</v>
      </c>
      <c r="C841" t="s">
        <v>55</v>
      </c>
      <c r="D841" t="s">
        <v>18</v>
      </c>
      <c r="E841">
        <v>332.6</v>
      </c>
      <c r="F841">
        <v>11956.35</v>
      </c>
      <c r="G841" t="s">
        <v>85</v>
      </c>
      <c r="H841" s="1">
        <v>45129</v>
      </c>
      <c r="I841" s="1">
        <v>45550</v>
      </c>
      <c r="J841" t="s">
        <v>3985</v>
      </c>
      <c r="K841" t="s">
        <v>50</v>
      </c>
      <c r="L841" t="s">
        <v>36</v>
      </c>
      <c r="M841">
        <v>0.56000000000000005</v>
      </c>
      <c r="N841" t="s">
        <v>3986</v>
      </c>
      <c r="O841" t="s">
        <v>3987</v>
      </c>
      <c r="P841" t="s">
        <v>3988</v>
      </c>
    </row>
    <row r="842" spans="1:16" x14ac:dyDescent="0.45">
      <c r="A842" t="s">
        <v>3989</v>
      </c>
      <c r="B842">
        <v>55</v>
      </c>
      <c r="C842" t="s">
        <v>66</v>
      </c>
      <c r="D842" t="s">
        <v>41</v>
      </c>
      <c r="E842">
        <v>2178.6799999999998</v>
      </c>
      <c r="F842">
        <v>1428.16</v>
      </c>
      <c r="G842" t="s">
        <v>104</v>
      </c>
      <c r="H842" s="1">
        <v>44903</v>
      </c>
      <c r="I842" s="1">
        <v>45142</v>
      </c>
      <c r="J842" t="s">
        <v>3990</v>
      </c>
      <c r="K842" t="s">
        <v>21</v>
      </c>
      <c r="L842" t="s">
        <v>36</v>
      </c>
      <c r="M842">
        <v>0.91</v>
      </c>
      <c r="N842" t="s">
        <v>3991</v>
      </c>
      <c r="O842" t="s">
        <v>3992</v>
      </c>
      <c r="P842" t="s">
        <v>3993</v>
      </c>
    </row>
    <row r="843" spans="1:16" x14ac:dyDescent="0.45">
      <c r="A843" t="s">
        <v>3994</v>
      </c>
      <c r="B843">
        <v>48</v>
      </c>
      <c r="C843" t="s">
        <v>17</v>
      </c>
      <c r="D843" t="s">
        <v>84</v>
      </c>
      <c r="E843">
        <v>594.82000000000005</v>
      </c>
      <c r="F843">
        <v>5115.7299999999996</v>
      </c>
      <c r="G843" t="s">
        <v>104</v>
      </c>
      <c r="H843" s="1">
        <v>45376</v>
      </c>
      <c r="I843" s="1">
        <v>45531</v>
      </c>
      <c r="J843" t="s">
        <v>3995</v>
      </c>
      <c r="K843" t="s">
        <v>21</v>
      </c>
      <c r="L843" t="s">
        <v>43</v>
      </c>
      <c r="M843">
        <v>0.33</v>
      </c>
      <c r="N843" t="s">
        <v>3996</v>
      </c>
      <c r="O843" t="s">
        <v>3997</v>
      </c>
      <c r="P843" t="s">
        <v>3998</v>
      </c>
    </row>
    <row r="844" spans="1:16" x14ac:dyDescent="0.45">
      <c r="A844" t="s">
        <v>3999</v>
      </c>
      <c r="B844">
        <v>66</v>
      </c>
      <c r="C844" t="s">
        <v>66</v>
      </c>
      <c r="D844" t="s">
        <v>33</v>
      </c>
      <c r="E844">
        <v>3708.55</v>
      </c>
      <c r="F844">
        <v>9296.73</v>
      </c>
      <c r="G844" t="s">
        <v>19</v>
      </c>
      <c r="H844" s="1">
        <v>45483</v>
      </c>
      <c r="I844" s="1">
        <v>45592</v>
      </c>
      <c r="J844" t="s">
        <v>4000</v>
      </c>
      <c r="K844" t="s">
        <v>21</v>
      </c>
      <c r="L844" t="s">
        <v>36</v>
      </c>
      <c r="M844">
        <v>0.05</v>
      </c>
      <c r="N844" t="s">
        <v>4001</v>
      </c>
      <c r="O844" t="s">
        <v>4002</v>
      </c>
      <c r="P844" t="s">
        <v>4003</v>
      </c>
    </row>
    <row r="845" spans="1:16" x14ac:dyDescent="0.45">
      <c r="A845" t="s">
        <v>4004</v>
      </c>
      <c r="B845">
        <v>25</v>
      </c>
      <c r="C845" t="s">
        <v>83</v>
      </c>
      <c r="D845" t="s">
        <v>67</v>
      </c>
      <c r="E845">
        <v>1904.13</v>
      </c>
      <c r="F845">
        <v>7286.17</v>
      </c>
      <c r="G845" t="s">
        <v>104</v>
      </c>
      <c r="H845" s="1">
        <v>44870</v>
      </c>
      <c r="I845" s="1">
        <v>45021</v>
      </c>
      <c r="J845" t="s">
        <v>4005</v>
      </c>
      <c r="K845" t="s">
        <v>50</v>
      </c>
      <c r="L845" t="s">
        <v>22</v>
      </c>
      <c r="M845">
        <v>0.8</v>
      </c>
      <c r="N845" t="s">
        <v>4006</v>
      </c>
      <c r="O845" t="s">
        <v>4007</v>
      </c>
      <c r="P845" t="s">
        <v>4008</v>
      </c>
    </row>
    <row r="846" spans="1:16" x14ac:dyDescent="0.45">
      <c r="A846" t="s">
        <v>4009</v>
      </c>
      <c r="B846">
        <v>27</v>
      </c>
      <c r="C846" t="s">
        <v>40</v>
      </c>
      <c r="D846" t="s">
        <v>33</v>
      </c>
      <c r="E846">
        <v>2154.64</v>
      </c>
      <c r="F846">
        <v>13898.31</v>
      </c>
      <c r="G846" t="s">
        <v>19</v>
      </c>
      <c r="H846" s="1">
        <v>45093</v>
      </c>
      <c r="I846" s="1">
        <v>45673</v>
      </c>
      <c r="J846" t="s">
        <v>4010</v>
      </c>
      <c r="K846" t="s">
        <v>50</v>
      </c>
      <c r="L846" t="s">
        <v>22</v>
      </c>
      <c r="M846">
        <v>0.35</v>
      </c>
      <c r="N846" t="s">
        <v>4011</v>
      </c>
      <c r="O846" t="s">
        <v>4012</v>
      </c>
      <c r="P846" t="s">
        <v>4013</v>
      </c>
    </row>
    <row r="847" spans="1:16" x14ac:dyDescent="0.45">
      <c r="A847" t="s">
        <v>4014</v>
      </c>
      <c r="B847">
        <v>35</v>
      </c>
      <c r="C847" t="s">
        <v>48</v>
      </c>
      <c r="D847" t="s">
        <v>33</v>
      </c>
      <c r="E847">
        <v>3779.16</v>
      </c>
      <c r="F847">
        <v>15038.42</v>
      </c>
      <c r="G847" t="s">
        <v>19</v>
      </c>
      <c r="H847" s="1">
        <v>45190</v>
      </c>
      <c r="I847" s="1">
        <v>45768</v>
      </c>
      <c r="J847" t="s">
        <v>4015</v>
      </c>
      <c r="K847" t="s">
        <v>50</v>
      </c>
      <c r="L847" t="s">
        <v>22</v>
      </c>
      <c r="M847">
        <v>0.54</v>
      </c>
      <c r="N847" t="s">
        <v>4016</v>
      </c>
      <c r="O847">
        <f>61-8-8488-7813</f>
        <v>-16248</v>
      </c>
      <c r="P847" t="s">
        <v>4017</v>
      </c>
    </row>
    <row r="848" spans="1:16" x14ac:dyDescent="0.45">
      <c r="A848" t="s">
        <v>4018</v>
      </c>
      <c r="B848">
        <v>63</v>
      </c>
      <c r="C848" t="s">
        <v>17</v>
      </c>
      <c r="D848" t="s">
        <v>67</v>
      </c>
      <c r="E848">
        <v>537.84</v>
      </c>
      <c r="F848">
        <v>96.63</v>
      </c>
      <c r="G848" t="s">
        <v>19</v>
      </c>
      <c r="H848" s="1">
        <v>45361</v>
      </c>
      <c r="I848" s="1">
        <v>45510</v>
      </c>
      <c r="J848" t="s">
        <v>4019</v>
      </c>
      <c r="K848" t="s">
        <v>50</v>
      </c>
      <c r="L848" t="s">
        <v>43</v>
      </c>
      <c r="M848">
        <v>0.66</v>
      </c>
      <c r="N848" t="s">
        <v>4020</v>
      </c>
      <c r="O848" t="s">
        <v>4021</v>
      </c>
      <c r="P848" t="s">
        <v>4022</v>
      </c>
    </row>
    <row r="849" spans="1:16" x14ac:dyDescent="0.45">
      <c r="A849" t="s">
        <v>4023</v>
      </c>
      <c r="B849">
        <v>59</v>
      </c>
      <c r="C849" t="s">
        <v>48</v>
      </c>
      <c r="D849" t="s">
        <v>41</v>
      </c>
      <c r="E849">
        <v>906.88</v>
      </c>
      <c r="F849">
        <v>5106.79</v>
      </c>
      <c r="G849" t="s">
        <v>19</v>
      </c>
      <c r="H849" s="1">
        <v>45323</v>
      </c>
      <c r="I849" s="1">
        <v>45694</v>
      </c>
      <c r="J849" t="s">
        <v>4024</v>
      </c>
      <c r="K849" t="s">
        <v>50</v>
      </c>
      <c r="L849" t="s">
        <v>36</v>
      </c>
      <c r="M849">
        <v>0.38</v>
      </c>
      <c r="N849" t="s">
        <v>4025</v>
      </c>
      <c r="O849" t="s">
        <v>4026</v>
      </c>
      <c r="P849" t="s">
        <v>4027</v>
      </c>
    </row>
    <row r="850" spans="1:16" x14ac:dyDescent="0.45">
      <c r="A850" t="s">
        <v>4028</v>
      </c>
      <c r="B850">
        <v>72</v>
      </c>
      <c r="C850" t="s">
        <v>26</v>
      </c>
      <c r="D850" t="s">
        <v>18</v>
      </c>
      <c r="E850">
        <v>915.45</v>
      </c>
      <c r="F850">
        <v>11501.46</v>
      </c>
      <c r="G850" t="s">
        <v>19</v>
      </c>
      <c r="H850" s="1">
        <v>45425</v>
      </c>
      <c r="I850" s="1">
        <v>45815</v>
      </c>
      <c r="J850" t="s">
        <v>4029</v>
      </c>
      <c r="K850" t="s">
        <v>50</v>
      </c>
      <c r="L850" t="s">
        <v>36</v>
      </c>
      <c r="M850">
        <v>7.0000000000000007E-2</v>
      </c>
      <c r="N850" t="s">
        <v>4030</v>
      </c>
      <c r="O850" t="s">
        <v>4031</v>
      </c>
      <c r="P850" t="s">
        <v>4032</v>
      </c>
    </row>
    <row r="851" spans="1:16" x14ac:dyDescent="0.45">
      <c r="A851" t="s">
        <v>4033</v>
      </c>
      <c r="B851">
        <v>18</v>
      </c>
      <c r="C851" t="s">
        <v>83</v>
      </c>
      <c r="D851" t="s">
        <v>84</v>
      </c>
      <c r="E851">
        <v>1071.72</v>
      </c>
      <c r="F851">
        <v>11906.93</v>
      </c>
      <c r="G851" t="s">
        <v>19</v>
      </c>
      <c r="H851" s="1">
        <v>45496</v>
      </c>
      <c r="I851" s="1">
        <v>45634</v>
      </c>
      <c r="J851" t="s">
        <v>4034</v>
      </c>
      <c r="K851" t="s">
        <v>50</v>
      </c>
      <c r="L851" t="s">
        <v>22</v>
      </c>
      <c r="M851">
        <v>0.14000000000000001</v>
      </c>
      <c r="N851" t="s">
        <v>4035</v>
      </c>
      <c r="O851" t="s">
        <v>4036</v>
      </c>
      <c r="P851" t="s">
        <v>4037</v>
      </c>
    </row>
    <row r="852" spans="1:16" x14ac:dyDescent="0.45">
      <c r="A852" t="s">
        <v>4038</v>
      </c>
      <c r="B852">
        <v>35</v>
      </c>
      <c r="C852" t="s">
        <v>83</v>
      </c>
      <c r="D852" t="s">
        <v>84</v>
      </c>
      <c r="E852">
        <v>2451.4499999999998</v>
      </c>
      <c r="F852">
        <v>6967.55</v>
      </c>
      <c r="G852" t="s">
        <v>104</v>
      </c>
      <c r="H852" s="1">
        <v>45419</v>
      </c>
      <c r="I852" s="1">
        <v>45620</v>
      </c>
      <c r="J852" t="s">
        <v>4039</v>
      </c>
      <c r="K852" t="s">
        <v>28</v>
      </c>
      <c r="L852" t="s">
        <v>22</v>
      </c>
      <c r="M852">
        <v>0.7</v>
      </c>
      <c r="N852" t="s">
        <v>4040</v>
      </c>
      <c r="O852">
        <v>61769994836</v>
      </c>
      <c r="P852" t="s">
        <v>4041</v>
      </c>
    </row>
    <row r="853" spans="1:16" x14ac:dyDescent="0.45">
      <c r="A853" t="s">
        <v>4042</v>
      </c>
      <c r="B853">
        <v>34</v>
      </c>
      <c r="C853" t="s">
        <v>66</v>
      </c>
      <c r="D853" t="s">
        <v>67</v>
      </c>
      <c r="E853">
        <v>4923.79</v>
      </c>
      <c r="F853">
        <v>5254.69</v>
      </c>
      <c r="G853" t="s">
        <v>19</v>
      </c>
      <c r="H853" s="1">
        <v>44966</v>
      </c>
      <c r="I853" s="1">
        <v>45529</v>
      </c>
      <c r="J853" t="s">
        <v>4043</v>
      </c>
      <c r="K853" t="s">
        <v>28</v>
      </c>
      <c r="L853" t="s">
        <v>36</v>
      </c>
      <c r="M853">
        <v>0.97</v>
      </c>
      <c r="N853" t="s">
        <v>4044</v>
      </c>
      <c r="O853" t="s">
        <v>4045</v>
      </c>
      <c r="P853" t="s">
        <v>4046</v>
      </c>
    </row>
    <row r="854" spans="1:16" x14ac:dyDescent="0.45">
      <c r="A854" t="s">
        <v>4047</v>
      </c>
      <c r="B854">
        <v>50</v>
      </c>
      <c r="C854" t="s">
        <v>40</v>
      </c>
      <c r="D854" t="s">
        <v>33</v>
      </c>
      <c r="E854">
        <v>3331.9</v>
      </c>
      <c r="F854">
        <v>12129.4</v>
      </c>
      <c r="G854" t="s">
        <v>19</v>
      </c>
      <c r="H854" s="1">
        <v>45188</v>
      </c>
      <c r="I854" s="1">
        <v>45812</v>
      </c>
      <c r="J854" t="s">
        <v>4048</v>
      </c>
      <c r="K854" t="s">
        <v>21</v>
      </c>
      <c r="L854" t="s">
        <v>36</v>
      </c>
      <c r="M854">
        <v>0.95</v>
      </c>
      <c r="N854" t="s">
        <v>4049</v>
      </c>
      <c r="O854" t="s">
        <v>4050</v>
      </c>
      <c r="P854" t="s">
        <v>4051</v>
      </c>
    </row>
    <row r="855" spans="1:16" x14ac:dyDescent="0.45">
      <c r="A855" t="s">
        <v>4052</v>
      </c>
      <c r="B855">
        <v>54</v>
      </c>
      <c r="C855" t="s">
        <v>83</v>
      </c>
      <c r="D855" t="s">
        <v>67</v>
      </c>
      <c r="E855">
        <v>758.07</v>
      </c>
      <c r="F855">
        <v>18111.41</v>
      </c>
      <c r="G855" t="s">
        <v>85</v>
      </c>
      <c r="H855" s="1">
        <v>44807</v>
      </c>
      <c r="I855" s="1">
        <v>45028</v>
      </c>
      <c r="J855" t="s">
        <v>4053</v>
      </c>
      <c r="K855" t="s">
        <v>50</v>
      </c>
      <c r="L855" t="s">
        <v>36</v>
      </c>
      <c r="M855">
        <v>0.14000000000000001</v>
      </c>
      <c r="N855" t="s">
        <v>4054</v>
      </c>
      <c r="O855">
        <f>61-428-484-780</f>
        <v>-1631</v>
      </c>
      <c r="P855" t="s">
        <v>4055</v>
      </c>
    </row>
    <row r="856" spans="1:16" x14ac:dyDescent="0.45">
      <c r="A856" t="s">
        <v>4056</v>
      </c>
      <c r="B856">
        <v>58</v>
      </c>
      <c r="C856" t="s">
        <v>48</v>
      </c>
      <c r="D856" t="s">
        <v>41</v>
      </c>
      <c r="E856">
        <v>2392.37</v>
      </c>
      <c r="F856">
        <v>17722.27</v>
      </c>
      <c r="G856" t="s">
        <v>85</v>
      </c>
      <c r="H856" s="1">
        <v>45242</v>
      </c>
      <c r="I856" s="1">
        <v>45793</v>
      </c>
      <c r="J856" t="s">
        <v>4057</v>
      </c>
      <c r="K856" t="s">
        <v>28</v>
      </c>
      <c r="L856" t="s">
        <v>22</v>
      </c>
      <c r="M856">
        <v>0.11</v>
      </c>
      <c r="N856" t="s">
        <v>4058</v>
      </c>
      <c r="O856" t="s">
        <v>4059</v>
      </c>
      <c r="P856" t="s">
        <v>4060</v>
      </c>
    </row>
    <row r="857" spans="1:16" x14ac:dyDescent="0.45">
      <c r="A857" t="s">
        <v>4061</v>
      </c>
      <c r="B857">
        <v>31</v>
      </c>
      <c r="C857" t="s">
        <v>83</v>
      </c>
      <c r="D857" t="s">
        <v>84</v>
      </c>
      <c r="E857">
        <v>2052.7600000000002</v>
      </c>
      <c r="F857">
        <v>11369.15</v>
      </c>
      <c r="G857" t="s">
        <v>104</v>
      </c>
      <c r="H857" s="1">
        <v>44950</v>
      </c>
      <c r="I857" s="1">
        <v>45573</v>
      </c>
      <c r="J857" t="s">
        <v>4062</v>
      </c>
      <c r="K857" t="s">
        <v>35</v>
      </c>
      <c r="L857" t="s">
        <v>22</v>
      </c>
      <c r="M857">
        <v>0.81</v>
      </c>
      <c r="N857" t="s">
        <v>4063</v>
      </c>
      <c r="O857" t="s">
        <v>4064</v>
      </c>
      <c r="P857" t="s">
        <v>4065</v>
      </c>
    </row>
    <row r="858" spans="1:16" x14ac:dyDescent="0.45">
      <c r="A858" t="s">
        <v>4066</v>
      </c>
      <c r="B858">
        <v>46</v>
      </c>
      <c r="C858" t="s">
        <v>55</v>
      </c>
      <c r="D858" t="s">
        <v>84</v>
      </c>
      <c r="E858">
        <v>3780.29</v>
      </c>
      <c r="F858">
        <v>2689.83</v>
      </c>
      <c r="G858" t="s">
        <v>85</v>
      </c>
      <c r="H858" s="1">
        <v>45406</v>
      </c>
      <c r="I858" s="1">
        <v>45563</v>
      </c>
      <c r="J858" t="s">
        <v>4067</v>
      </c>
      <c r="K858" t="s">
        <v>21</v>
      </c>
      <c r="L858" t="s">
        <v>22</v>
      </c>
      <c r="M858">
        <v>0.48</v>
      </c>
      <c r="N858" t="s">
        <v>4068</v>
      </c>
      <c r="O858">
        <f>61-424-928-655</f>
        <v>-1946</v>
      </c>
      <c r="P858" t="s">
        <v>4069</v>
      </c>
    </row>
    <row r="859" spans="1:16" x14ac:dyDescent="0.45">
      <c r="A859" t="s">
        <v>4070</v>
      </c>
      <c r="B859">
        <v>71</v>
      </c>
      <c r="C859" t="s">
        <v>40</v>
      </c>
      <c r="D859" t="s">
        <v>67</v>
      </c>
      <c r="E859">
        <v>4553.2</v>
      </c>
      <c r="F859">
        <v>7728.65</v>
      </c>
      <c r="G859" t="s">
        <v>104</v>
      </c>
      <c r="H859" s="1">
        <v>44903</v>
      </c>
      <c r="I859" s="1">
        <v>45221</v>
      </c>
      <c r="J859" t="s">
        <v>4071</v>
      </c>
      <c r="K859" t="s">
        <v>50</v>
      </c>
      <c r="L859" t="s">
        <v>43</v>
      </c>
      <c r="M859">
        <v>0.71</v>
      </c>
      <c r="N859" t="s">
        <v>4072</v>
      </c>
      <c r="O859" t="s">
        <v>4073</v>
      </c>
      <c r="P859" t="s">
        <v>4074</v>
      </c>
    </row>
    <row r="860" spans="1:16" x14ac:dyDescent="0.45">
      <c r="A860" t="s">
        <v>4075</v>
      </c>
      <c r="B860">
        <v>28</v>
      </c>
      <c r="C860" t="s">
        <v>83</v>
      </c>
      <c r="D860" t="s">
        <v>18</v>
      </c>
      <c r="E860">
        <v>3586.92</v>
      </c>
      <c r="F860">
        <v>2418.27</v>
      </c>
      <c r="G860" t="s">
        <v>19</v>
      </c>
      <c r="H860" s="1">
        <v>45254</v>
      </c>
      <c r="I860" s="1">
        <v>45658</v>
      </c>
      <c r="J860" t="s">
        <v>4076</v>
      </c>
      <c r="K860" t="s">
        <v>35</v>
      </c>
      <c r="L860" t="s">
        <v>43</v>
      </c>
      <c r="M860">
        <v>0.65</v>
      </c>
      <c r="N860" t="s">
        <v>4077</v>
      </c>
      <c r="O860" t="s">
        <v>4078</v>
      </c>
      <c r="P860" t="s">
        <v>4079</v>
      </c>
    </row>
    <row r="861" spans="1:16" x14ac:dyDescent="0.45">
      <c r="A861" t="s">
        <v>915</v>
      </c>
      <c r="B861">
        <v>49</v>
      </c>
      <c r="C861" t="s">
        <v>66</v>
      </c>
      <c r="D861" t="s">
        <v>84</v>
      </c>
      <c r="E861">
        <v>956.02</v>
      </c>
      <c r="F861">
        <v>10877.33</v>
      </c>
      <c r="G861" t="s">
        <v>104</v>
      </c>
      <c r="H861" s="1">
        <v>44781</v>
      </c>
      <c r="I861" s="1">
        <v>45240</v>
      </c>
      <c r="J861" t="s">
        <v>4080</v>
      </c>
      <c r="K861" t="s">
        <v>21</v>
      </c>
      <c r="L861" t="s">
        <v>22</v>
      </c>
      <c r="M861">
        <v>0.04</v>
      </c>
      <c r="N861" t="s">
        <v>4081</v>
      </c>
      <c r="O861" t="s">
        <v>4082</v>
      </c>
      <c r="P861" t="s">
        <v>4083</v>
      </c>
    </row>
    <row r="862" spans="1:16" x14ac:dyDescent="0.45">
      <c r="A862" t="s">
        <v>4084</v>
      </c>
      <c r="B862">
        <v>55</v>
      </c>
      <c r="C862" t="s">
        <v>17</v>
      </c>
      <c r="D862" t="s">
        <v>33</v>
      </c>
      <c r="E862">
        <v>2732.12</v>
      </c>
      <c r="F862">
        <v>4665.41</v>
      </c>
      <c r="G862" t="s">
        <v>19</v>
      </c>
      <c r="H862" s="1">
        <v>45269</v>
      </c>
      <c r="I862" s="1">
        <v>45664</v>
      </c>
      <c r="J862" t="s">
        <v>4085</v>
      </c>
      <c r="K862" t="s">
        <v>35</v>
      </c>
      <c r="L862" t="s">
        <v>22</v>
      </c>
      <c r="M862">
        <v>0.16</v>
      </c>
      <c r="N862" t="s">
        <v>4086</v>
      </c>
      <c r="O862">
        <f>61-7-1656-2159</f>
        <v>-3761</v>
      </c>
      <c r="P862" t="s">
        <v>4087</v>
      </c>
    </row>
    <row r="863" spans="1:16" x14ac:dyDescent="0.45">
      <c r="A863" t="s">
        <v>4088</v>
      </c>
      <c r="B863">
        <v>57</v>
      </c>
      <c r="C863" t="s">
        <v>55</v>
      </c>
      <c r="D863" t="s">
        <v>18</v>
      </c>
      <c r="E863">
        <v>4268.41</v>
      </c>
      <c r="F863">
        <v>14025.67</v>
      </c>
      <c r="G863" t="s">
        <v>104</v>
      </c>
      <c r="H863" s="1">
        <v>45045</v>
      </c>
      <c r="I863" s="1">
        <v>45558</v>
      </c>
      <c r="J863" t="s">
        <v>4089</v>
      </c>
      <c r="K863" t="s">
        <v>28</v>
      </c>
      <c r="L863" t="s">
        <v>36</v>
      </c>
      <c r="M863">
        <v>0.55000000000000004</v>
      </c>
      <c r="N863" t="s">
        <v>4090</v>
      </c>
      <c r="O863">
        <f>61-457-69-883</f>
        <v>-1348</v>
      </c>
      <c r="P863" t="s">
        <v>4091</v>
      </c>
    </row>
    <row r="864" spans="1:16" x14ac:dyDescent="0.45">
      <c r="A864" t="s">
        <v>4092</v>
      </c>
      <c r="B864">
        <v>46</v>
      </c>
      <c r="C864" t="s">
        <v>17</v>
      </c>
      <c r="D864" t="s">
        <v>33</v>
      </c>
      <c r="E864">
        <v>3394.85</v>
      </c>
      <c r="F864">
        <v>11435.35</v>
      </c>
      <c r="G864" t="s">
        <v>85</v>
      </c>
      <c r="H864" s="1">
        <v>45473</v>
      </c>
      <c r="I864" s="1">
        <v>45833</v>
      </c>
      <c r="J864" t="s">
        <v>4093</v>
      </c>
      <c r="K864" t="s">
        <v>35</v>
      </c>
      <c r="L864" t="s">
        <v>36</v>
      </c>
      <c r="M864">
        <v>0.19</v>
      </c>
      <c r="N864" t="s">
        <v>4094</v>
      </c>
      <c r="O864" t="s">
        <v>4095</v>
      </c>
      <c r="P864" t="s">
        <v>4096</v>
      </c>
    </row>
    <row r="865" spans="1:16" x14ac:dyDescent="0.45">
      <c r="A865" t="s">
        <v>4097</v>
      </c>
      <c r="B865">
        <v>23</v>
      </c>
      <c r="C865" t="s">
        <v>48</v>
      </c>
      <c r="D865" t="s">
        <v>18</v>
      </c>
      <c r="E865">
        <v>3322.85</v>
      </c>
      <c r="F865">
        <v>6167.7</v>
      </c>
      <c r="G865" t="s">
        <v>19</v>
      </c>
      <c r="H865" s="1">
        <v>45371</v>
      </c>
      <c r="I865" s="1">
        <v>45741</v>
      </c>
      <c r="J865" t="s">
        <v>4098</v>
      </c>
      <c r="K865" t="s">
        <v>28</v>
      </c>
      <c r="L865" t="s">
        <v>22</v>
      </c>
      <c r="M865">
        <v>0.94</v>
      </c>
      <c r="N865" t="s">
        <v>4099</v>
      </c>
      <c r="O865" t="s">
        <v>4100</v>
      </c>
      <c r="P865" t="s">
        <v>4101</v>
      </c>
    </row>
    <row r="866" spans="1:16" x14ac:dyDescent="0.45">
      <c r="A866" t="s">
        <v>4102</v>
      </c>
      <c r="B866">
        <v>36</v>
      </c>
      <c r="C866" t="s">
        <v>48</v>
      </c>
      <c r="D866" t="s">
        <v>84</v>
      </c>
      <c r="E866">
        <v>1471.55</v>
      </c>
      <c r="F866">
        <v>1847.96</v>
      </c>
      <c r="G866" t="s">
        <v>19</v>
      </c>
      <c r="H866" s="1">
        <v>45393</v>
      </c>
      <c r="I866" s="1">
        <v>45748</v>
      </c>
      <c r="J866" t="s">
        <v>4103</v>
      </c>
      <c r="K866" t="s">
        <v>21</v>
      </c>
      <c r="L866" t="s">
        <v>36</v>
      </c>
      <c r="M866">
        <v>0.45</v>
      </c>
      <c r="N866" t="s">
        <v>4104</v>
      </c>
      <c r="O866" t="s">
        <v>4105</v>
      </c>
      <c r="P866" t="s">
        <v>4106</v>
      </c>
    </row>
    <row r="867" spans="1:16" x14ac:dyDescent="0.45">
      <c r="A867" t="s">
        <v>4107</v>
      </c>
      <c r="B867">
        <v>21</v>
      </c>
      <c r="C867" t="s">
        <v>55</v>
      </c>
      <c r="D867" t="s">
        <v>41</v>
      </c>
      <c r="E867">
        <v>3198.3</v>
      </c>
      <c r="F867">
        <v>10992.77</v>
      </c>
      <c r="G867" t="s">
        <v>19</v>
      </c>
      <c r="H867" s="1">
        <v>44819</v>
      </c>
      <c r="I867" s="1">
        <v>45738</v>
      </c>
      <c r="J867" t="s">
        <v>4108</v>
      </c>
      <c r="K867" t="s">
        <v>35</v>
      </c>
      <c r="L867" t="s">
        <v>43</v>
      </c>
      <c r="M867">
        <v>0.95</v>
      </c>
      <c r="N867" t="s">
        <v>4109</v>
      </c>
      <c r="O867">
        <v>61209234207</v>
      </c>
      <c r="P867" t="s">
        <v>4110</v>
      </c>
    </row>
    <row r="868" spans="1:16" x14ac:dyDescent="0.45">
      <c r="A868" t="s">
        <v>4111</v>
      </c>
      <c r="B868">
        <v>36</v>
      </c>
      <c r="C868" t="s">
        <v>66</v>
      </c>
      <c r="D868" t="s">
        <v>33</v>
      </c>
      <c r="E868">
        <v>4730.84</v>
      </c>
      <c r="F868">
        <v>305.93</v>
      </c>
      <c r="G868" t="s">
        <v>19</v>
      </c>
      <c r="H868" s="1">
        <v>45415</v>
      </c>
      <c r="I868" s="1">
        <v>45523</v>
      </c>
      <c r="J868" t="s">
        <v>4112</v>
      </c>
      <c r="K868" t="s">
        <v>21</v>
      </c>
      <c r="L868" t="s">
        <v>36</v>
      </c>
      <c r="M868">
        <v>0.54</v>
      </c>
      <c r="N868" t="s">
        <v>4113</v>
      </c>
      <c r="O868">
        <f>61-456-481-380</f>
        <v>-1256</v>
      </c>
      <c r="P868" t="s">
        <v>4114</v>
      </c>
    </row>
    <row r="869" spans="1:16" x14ac:dyDescent="0.45">
      <c r="A869" t="s">
        <v>4115</v>
      </c>
      <c r="B869">
        <v>27</v>
      </c>
      <c r="C869" t="s">
        <v>66</v>
      </c>
      <c r="D869" t="s">
        <v>84</v>
      </c>
      <c r="E869">
        <v>4834.63</v>
      </c>
      <c r="F869">
        <v>16577.810000000001</v>
      </c>
      <c r="G869" t="s">
        <v>85</v>
      </c>
      <c r="H869" s="1">
        <v>45417</v>
      </c>
      <c r="I869" s="1">
        <v>45485</v>
      </c>
      <c r="J869" t="s">
        <v>4116</v>
      </c>
      <c r="K869" t="s">
        <v>50</v>
      </c>
      <c r="L869" t="s">
        <v>36</v>
      </c>
      <c r="M869">
        <v>0.94</v>
      </c>
      <c r="N869" t="s">
        <v>4117</v>
      </c>
      <c r="O869" t="s">
        <v>4118</v>
      </c>
      <c r="P869" t="s">
        <v>4119</v>
      </c>
    </row>
    <row r="870" spans="1:16" x14ac:dyDescent="0.45">
      <c r="A870" t="s">
        <v>4120</v>
      </c>
      <c r="B870">
        <v>63</v>
      </c>
      <c r="C870" t="s">
        <v>40</v>
      </c>
      <c r="D870" t="s">
        <v>41</v>
      </c>
      <c r="E870">
        <v>3016.57</v>
      </c>
      <c r="F870">
        <v>723.52</v>
      </c>
      <c r="G870" t="s">
        <v>19</v>
      </c>
      <c r="H870" s="1">
        <v>44841</v>
      </c>
      <c r="I870" s="1">
        <v>45210</v>
      </c>
      <c r="J870" t="s">
        <v>4121</v>
      </c>
      <c r="K870" t="s">
        <v>35</v>
      </c>
      <c r="L870" t="s">
        <v>22</v>
      </c>
      <c r="M870">
        <v>0.17</v>
      </c>
      <c r="N870" t="s">
        <v>4122</v>
      </c>
      <c r="O870">
        <v>795444768</v>
      </c>
      <c r="P870" t="s">
        <v>4123</v>
      </c>
    </row>
    <row r="871" spans="1:16" x14ac:dyDescent="0.45">
      <c r="A871" t="s">
        <v>4124</v>
      </c>
      <c r="B871">
        <v>62</v>
      </c>
      <c r="C871" t="s">
        <v>26</v>
      </c>
      <c r="D871" t="s">
        <v>33</v>
      </c>
      <c r="E871">
        <v>1538.28</v>
      </c>
      <c r="F871">
        <v>19539.599999999999</v>
      </c>
      <c r="G871" t="s">
        <v>104</v>
      </c>
      <c r="H871" s="1">
        <v>45088</v>
      </c>
      <c r="I871" s="1">
        <v>45763</v>
      </c>
      <c r="J871" t="s">
        <v>4125</v>
      </c>
      <c r="K871" t="s">
        <v>50</v>
      </c>
      <c r="L871" t="s">
        <v>22</v>
      </c>
      <c r="M871">
        <v>0.8</v>
      </c>
      <c r="N871" t="s">
        <v>4126</v>
      </c>
      <c r="O871" t="s">
        <v>4127</v>
      </c>
      <c r="P871" t="s">
        <v>4128</v>
      </c>
    </row>
    <row r="872" spans="1:16" x14ac:dyDescent="0.45">
      <c r="A872" t="s">
        <v>4129</v>
      </c>
      <c r="B872">
        <v>75</v>
      </c>
      <c r="C872" t="s">
        <v>26</v>
      </c>
      <c r="D872" t="s">
        <v>67</v>
      </c>
      <c r="E872">
        <v>2695.84</v>
      </c>
      <c r="F872">
        <v>6071.87</v>
      </c>
      <c r="G872" t="s">
        <v>19</v>
      </c>
      <c r="H872" s="1">
        <v>45465</v>
      </c>
      <c r="I872" s="1">
        <v>45594</v>
      </c>
      <c r="J872" t="s">
        <v>4130</v>
      </c>
      <c r="K872" t="s">
        <v>21</v>
      </c>
      <c r="L872" t="s">
        <v>22</v>
      </c>
      <c r="M872">
        <v>0.56999999999999995</v>
      </c>
      <c r="N872" t="s">
        <v>4131</v>
      </c>
      <c r="O872">
        <v>4248074</v>
      </c>
      <c r="P872" t="s">
        <v>4132</v>
      </c>
    </row>
    <row r="873" spans="1:16" x14ac:dyDescent="0.45">
      <c r="A873" t="s">
        <v>4133</v>
      </c>
      <c r="B873">
        <v>21</v>
      </c>
      <c r="C873" t="s">
        <v>48</v>
      </c>
      <c r="D873" t="s">
        <v>41</v>
      </c>
      <c r="E873">
        <v>769.45</v>
      </c>
      <c r="F873">
        <v>8816.48</v>
      </c>
      <c r="G873" t="s">
        <v>19</v>
      </c>
      <c r="H873" s="1">
        <v>45028</v>
      </c>
      <c r="I873" s="1">
        <v>45752</v>
      </c>
      <c r="J873" t="s">
        <v>4134</v>
      </c>
      <c r="K873" t="s">
        <v>35</v>
      </c>
      <c r="L873" t="s">
        <v>22</v>
      </c>
      <c r="M873">
        <v>0.79</v>
      </c>
      <c r="N873" t="s">
        <v>4135</v>
      </c>
      <c r="O873" t="s">
        <v>4136</v>
      </c>
      <c r="P873" t="s">
        <v>4137</v>
      </c>
    </row>
    <row r="874" spans="1:16" x14ac:dyDescent="0.45">
      <c r="A874" t="s">
        <v>4138</v>
      </c>
      <c r="B874">
        <v>27</v>
      </c>
      <c r="C874" t="s">
        <v>66</v>
      </c>
      <c r="D874" t="s">
        <v>84</v>
      </c>
      <c r="E874">
        <v>4421.2299999999996</v>
      </c>
      <c r="F874">
        <v>922.07</v>
      </c>
      <c r="G874" t="s">
        <v>85</v>
      </c>
      <c r="H874" s="1">
        <v>45322</v>
      </c>
      <c r="I874" s="1">
        <v>45571</v>
      </c>
      <c r="J874" t="s">
        <v>4139</v>
      </c>
      <c r="K874" t="s">
        <v>28</v>
      </c>
      <c r="L874" t="s">
        <v>36</v>
      </c>
      <c r="M874">
        <v>0.74</v>
      </c>
      <c r="N874" t="s">
        <v>4140</v>
      </c>
      <c r="O874" t="s">
        <v>4141</v>
      </c>
      <c r="P874" t="s">
        <v>4142</v>
      </c>
    </row>
    <row r="875" spans="1:16" x14ac:dyDescent="0.45">
      <c r="A875" t="s">
        <v>4143</v>
      </c>
      <c r="B875">
        <v>56</v>
      </c>
      <c r="C875" t="s">
        <v>40</v>
      </c>
      <c r="D875" t="s">
        <v>41</v>
      </c>
      <c r="E875">
        <v>4801.79</v>
      </c>
      <c r="F875">
        <v>5354.9</v>
      </c>
      <c r="G875" t="s">
        <v>104</v>
      </c>
      <c r="H875" s="1">
        <v>44987</v>
      </c>
      <c r="I875" s="1">
        <v>45056</v>
      </c>
      <c r="J875" t="s">
        <v>4144</v>
      </c>
      <c r="K875" t="s">
        <v>50</v>
      </c>
      <c r="L875" t="s">
        <v>36</v>
      </c>
      <c r="M875">
        <v>0.81</v>
      </c>
      <c r="N875" t="s">
        <v>4145</v>
      </c>
      <c r="O875" t="s">
        <v>4146</v>
      </c>
      <c r="P875" t="s">
        <v>4147</v>
      </c>
    </row>
    <row r="876" spans="1:16" x14ac:dyDescent="0.45">
      <c r="A876" t="s">
        <v>4148</v>
      </c>
      <c r="B876">
        <v>44</v>
      </c>
      <c r="C876" t="s">
        <v>32</v>
      </c>
      <c r="D876" t="s">
        <v>41</v>
      </c>
      <c r="E876">
        <v>903.52</v>
      </c>
      <c r="F876">
        <v>3403.4</v>
      </c>
      <c r="G876" t="s">
        <v>19</v>
      </c>
      <c r="H876" s="1">
        <v>44917</v>
      </c>
      <c r="I876" s="1">
        <v>45143</v>
      </c>
      <c r="J876" t="s">
        <v>4149</v>
      </c>
      <c r="K876" t="s">
        <v>50</v>
      </c>
      <c r="L876" t="s">
        <v>22</v>
      </c>
      <c r="M876">
        <v>0.38</v>
      </c>
      <c r="N876" t="s">
        <v>4150</v>
      </c>
      <c r="O876" t="s">
        <v>4151</v>
      </c>
      <c r="P876" t="s">
        <v>4152</v>
      </c>
    </row>
    <row r="877" spans="1:16" x14ac:dyDescent="0.45">
      <c r="A877" t="s">
        <v>4153</v>
      </c>
      <c r="B877">
        <v>51</v>
      </c>
      <c r="C877" t="s">
        <v>17</v>
      </c>
      <c r="D877" t="s">
        <v>67</v>
      </c>
      <c r="E877">
        <v>1688.42</v>
      </c>
      <c r="F877">
        <v>12913.25</v>
      </c>
      <c r="G877" t="s">
        <v>19</v>
      </c>
      <c r="H877" s="1">
        <v>45279</v>
      </c>
      <c r="I877" s="1">
        <v>45690</v>
      </c>
      <c r="J877" t="s">
        <v>4154</v>
      </c>
      <c r="K877" t="s">
        <v>35</v>
      </c>
      <c r="L877" t="s">
        <v>36</v>
      </c>
      <c r="M877">
        <v>0.66</v>
      </c>
      <c r="N877" t="s">
        <v>4155</v>
      </c>
      <c r="O877" t="s">
        <v>4156</v>
      </c>
      <c r="P877" t="s">
        <v>4157</v>
      </c>
    </row>
    <row r="878" spans="1:16" x14ac:dyDescent="0.45">
      <c r="A878" t="s">
        <v>4158</v>
      </c>
      <c r="B878">
        <v>67</v>
      </c>
      <c r="C878" t="s">
        <v>40</v>
      </c>
      <c r="D878" t="s">
        <v>84</v>
      </c>
      <c r="E878">
        <v>3211.38</v>
      </c>
      <c r="F878">
        <v>12367.19</v>
      </c>
      <c r="G878" t="s">
        <v>19</v>
      </c>
      <c r="H878" s="1">
        <v>45196</v>
      </c>
      <c r="I878" s="1">
        <v>45818</v>
      </c>
      <c r="J878" t="s">
        <v>4159</v>
      </c>
      <c r="K878" t="s">
        <v>21</v>
      </c>
      <c r="L878" t="s">
        <v>22</v>
      </c>
      <c r="M878">
        <v>0.56000000000000005</v>
      </c>
      <c r="N878" t="s">
        <v>4160</v>
      </c>
      <c r="O878" t="s">
        <v>4161</v>
      </c>
      <c r="P878" t="s">
        <v>4162</v>
      </c>
    </row>
    <row r="879" spans="1:16" x14ac:dyDescent="0.45">
      <c r="A879" t="s">
        <v>4163</v>
      </c>
      <c r="B879">
        <v>30</v>
      </c>
      <c r="C879" t="s">
        <v>40</v>
      </c>
      <c r="D879" t="s">
        <v>84</v>
      </c>
      <c r="E879">
        <v>1648.04</v>
      </c>
      <c r="F879">
        <v>7425.98</v>
      </c>
      <c r="G879" t="s">
        <v>19</v>
      </c>
      <c r="H879" s="1">
        <v>44840</v>
      </c>
      <c r="I879" s="1">
        <v>45055</v>
      </c>
      <c r="J879" t="s">
        <v>4164</v>
      </c>
      <c r="K879" t="s">
        <v>21</v>
      </c>
      <c r="L879" t="s">
        <v>36</v>
      </c>
      <c r="M879">
        <v>0.56000000000000005</v>
      </c>
      <c r="N879" t="s">
        <v>4165</v>
      </c>
      <c r="O879">
        <f>61-451-744-594</f>
        <v>-1728</v>
      </c>
      <c r="P879" t="s">
        <v>4166</v>
      </c>
    </row>
    <row r="880" spans="1:16" x14ac:dyDescent="0.45">
      <c r="A880" t="s">
        <v>4167</v>
      </c>
      <c r="B880">
        <v>47</v>
      </c>
      <c r="C880" t="s">
        <v>26</v>
      </c>
      <c r="D880" t="s">
        <v>41</v>
      </c>
      <c r="E880">
        <v>4450.79</v>
      </c>
      <c r="F880">
        <v>16644.48</v>
      </c>
      <c r="G880" t="s">
        <v>104</v>
      </c>
      <c r="H880" s="1">
        <v>45099</v>
      </c>
      <c r="I880" s="1">
        <v>45260</v>
      </c>
      <c r="J880" t="s">
        <v>4168</v>
      </c>
      <c r="K880" t="s">
        <v>50</v>
      </c>
      <c r="L880" t="s">
        <v>22</v>
      </c>
      <c r="M880">
        <v>0.28000000000000003</v>
      </c>
      <c r="N880" t="s">
        <v>4169</v>
      </c>
      <c r="O880" t="s">
        <v>4170</v>
      </c>
      <c r="P880" t="s">
        <v>4171</v>
      </c>
    </row>
    <row r="881" spans="1:16" x14ac:dyDescent="0.45">
      <c r="A881" t="s">
        <v>3034</v>
      </c>
      <c r="B881">
        <v>26</v>
      </c>
      <c r="C881" t="s">
        <v>66</v>
      </c>
      <c r="D881" t="s">
        <v>41</v>
      </c>
      <c r="E881">
        <v>3661.79</v>
      </c>
      <c r="F881">
        <v>10139.870000000001</v>
      </c>
      <c r="G881" t="s">
        <v>19</v>
      </c>
      <c r="H881" s="1">
        <v>44893</v>
      </c>
      <c r="I881" s="1">
        <v>45783</v>
      </c>
      <c r="J881" t="s">
        <v>4172</v>
      </c>
      <c r="K881" t="s">
        <v>21</v>
      </c>
      <c r="L881" t="s">
        <v>43</v>
      </c>
      <c r="M881">
        <v>0.38</v>
      </c>
      <c r="N881" t="s">
        <v>4173</v>
      </c>
      <c r="O881">
        <v>887833855</v>
      </c>
      <c r="P881" t="s">
        <v>4174</v>
      </c>
    </row>
    <row r="882" spans="1:16" x14ac:dyDescent="0.45">
      <c r="A882" t="s">
        <v>4175</v>
      </c>
      <c r="B882">
        <v>48</v>
      </c>
      <c r="C882" t="s">
        <v>66</v>
      </c>
      <c r="D882" t="s">
        <v>18</v>
      </c>
      <c r="E882">
        <v>1397.87</v>
      </c>
      <c r="F882">
        <v>8380.2800000000007</v>
      </c>
      <c r="G882" t="s">
        <v>19</v>
      </c>
      <c r="H882" s="1">
        <v>45220</v>
      </c>
      <c r="I882" s="1">
        <v>45276</v>
      </c>
      <c r="J882" t="s">
        <v>4176</v>
      </c>
      <c r="K882" t="s">
        <v>35</v>
      </c>
      <c r="L882" t="s">
        <v>22</v>
      </c>
      <c r="M882">
        <v>0.65</v>
      </c>
      <c r="N882" t="s">
        <v>4177</v>
      </c>
      <c r="O882">
        <v>6272.1548000000003</v>
      </c>
      <c r="P882" t="s">
        <v>4178</v>
      </c>
    </row>
    <row r="883" spans="1:16" x14ac:dyDescent="0.45">
      <c r="A883" t="s">
        <v>4179</v>
      </c>
      <c r="B883">
        <v>31</v>
      </c>
      <c r="C883" t="s">
        <v>40</v>
      </c>
      <c r="D883" t="s">
        <v>41</v>
      </c>
      <c r="E883">
        <v>4322.5600000000004</v>
      </c>
      <c r="F883">
        <v>8817.2900000000009</v>
      </c>
      <c r="G883" t="s">
        <v>104</v>
      </c>
      <c r="H883" s="1">
        <v>44837</v>
      </c>
      <c r="I883" s="1">
        <v>44925</v>
      </c>
      <c r="J883" t="s">
        <v>4180</v>
      </c>
      <c r="K883" t="s">
        <v>50</v>
      </c>
      <c r="L883" t="s">
        <v>22</v>
      </c>
      <c r="M883">
        <v>0.23</v>
      </c>
      <c r="N883" t="s">
        <v>4181</v>
      </c>
      <c r="O883">
        <v>61884090457</v>
      </c>
      <c r="P883" t="s">
        <v>4182</v>
      </c>
    </row>
    <row r="884" spans="1:16" x14ac:dyDescent="0.45">
      <c r="A884" t="s">
        <v>4183</v>
      </c>
      <c r="B884">
        <v>18</v>
      </c>
      <c r="C884" t="s">
        <v>40</v>
      </c>
      <c r="D884" t="s">
        <v>18</v>
      </c>
      <c r="E884">
        <v>3729.12</v>
      </c>
      <c r="F884">
        <v>9714.52</v>
      </c>
      <c r="G884" t="s">
        <v>104</v>
      </c>
      <c r="H884" s="1">
        <v>45341</v>
      </c>
      <c r="I884" s="1">
        <v>45383</v>
      </c>
      <c r="J884" t="s">
        <v>4184</v>
      </c>
      <c r="K884" t="s">
        <v>21</v>
      </c>
      <c r="L884" t="s">
        <v>43</v>
      </c>
      <c r="M884">
        <v>0</v>
      </c>
      <c r="N884" t="s">
        <v>4185</v>
      </c>
      <c r="O884">
        <v>372857730</v>
      </c>
      <c r="P884" t="s">
        <v>4186</v>
      </c>
    </row>
    <row r="885" spans="1:16" x14ac:dyDescent="0.45">
      <c r="A885" t="s">
        <v>4187</v>
      </c>
      <c r="B885">
        <v>73</v>
      </c>
      <c r="C885" t="s">
        <v>32</v>
      </c>
      <c r="D885" t="s">
        <v>41</v>
      </c>
      <c r="E885">
        <v>3319.43</v>
      </c>
      <c r="F885">
        <v>19713.580000000002</v>
      </c>
      <c r="G885" t="s">
        <v>19</v>
      </c>
      <c r="H885" s="1">
        <v>45429</v>
      </c>
      <c r="I885" s="1">
        <v>45825</v>
      </c>
      <c r="J885" t="s">
        <v>4188</v>
      </c>
      <c r="K885" t="s">
        <v>35</v>
      </c>
      <c r="L885" t="s">
        <v>36</v>
      </c>
      <c r="M885">
        <v>0.65</v>
      </c>
      <c r="N885" t="s">
        <v>4189</v>
      </c>
      <c r="O885" t="s">
        <v>4190</v>
      </c>
      <c r="P885" t="s">
        <v>4191</v>
      </c>
    </row>
    <row r="886" spans="1:16" x14ac:dyDescent="0.45">
      <c r="A886" t="s">
        <v>4192</v>
      </c>
      <c r="B886">
        <v>46</v>
      </c>
      <c r="C886" t="s">
        <v>48</v>
      </c>
      <c r="D886" t="s">
        <v>33</v>
      </c>
      <c r="E886">
        <v>1253.73</v>
      </c>
      <c r="F886">
        <v>18980.68</v>
      </c>
      <c r="G886" t="s">
        <v>104</v>
      </c>
      <c r="H886" s="1">
        <v>45012</v>
      </c>
      <c r="I886" s="1">
        <v>45223</v>
      </c>
      <c r="J886" t="s">
        <v>4193</v>
      </c>
      <c r="K886" t="s">
        <v>28</v>
      </c>
      <c r="L886" t="s">
        <v>43</v>
      </c>
      <c r="M886">
        <v>0.05</v>
      </c>
      <c r="N886" t="s">
        <v>4194</v>
      </c>
      <c r="O886" t="s">
        <v>4195</v>
      </c>
      <c r="P886" t="s">
        <v>4196</v>
      </c>
    </row>
    <row r="887" spans="1:16" x14ac:dyDescent="0.45">
      <c r="A887" t="s">
        <v>4197</v>
      </c>
      <c r="B887">
        <v>40</v>
      </c>
      <c r="C887" t="s">
        <v>17</v>
      </c>
      <c r="D887" t="s">
        <v>67</v>
      </c>
      <c r="E887">
        <v>2177.81</v>
      </c>
      <c r="F887">
        <v>11130.35</v>
      </c>
      <c r="G887" t="s">
        <v>104</v>
      </c>
      <c r="H887" s="1">
        <v>45216</v>
      </c>
      <c r="I887" s="1">
        <v>45370</v>
      </c>
      <c r="J887" t="s">
        <v>4198</v>
      </c>
      <c r="K887" t="s">
        <v>28</v>
      </c>
      <c r="L887" t="s">
        <v>22</v>
      </c>
      <c r="M887">
        <v>0.14000000000000001</v>
      </c>
      <c r="N887" t="s">
        <v>4199</v>
      </c>
      <c r="O887" t="s">
        <v>4200</v>
      </c>
      <c r="P887" t="s">
        <v>4201</v>
      </c>
    </row>
    <row r="888" spans="1:16" x14ac:dyDescent="0.45">
      <c r="A888" t="s">
        <v>4202</v>
      </c>
      <c r="B888">
        <v>39</v>
      </c>
      <c r="C888" t="s">
        <v>48</v>
      </c>
      <c r="D888" t="s">
        <v>67</v>
      </c>
      <c r="E888">
        <v>347.15</v>
      </c>
      <c r="F888">
        <v>9616.0400000000009</v>
      </c>
      <c r="G888" t="s">
        <v>19</v>
      </c>
      <c r="H888" s="1">
        <v>45441</v>
      </c>
      <c r="I888" s="1">
        <v>45858</v>
      </c>
      <c r="J888" t="s">
        <v>4203</v>
      </c>
      <c r="K888" t="s">
        <v>21</v>
      </c>
      <c r="L888" t="s">
        <v>43</v>
      </c>
      <c r="M888">
        <v>0.28999999999999998</v>
      </c>
      <c r="N888" t="s">
        <v>4204</v>
      </c>
      <c r="O888">
        <f>61-7-6725-4398</f>
        <v>-11069</v>
      </c>
      <c r="P888" t="s">
        <v>4205</v>
      </c>
    </row>
    <row r="889" spans="1:16" x14ac:dyDescent="0.45">
      <c r="A889" t="s">
        <v>4206</v>
      </c>
      <c r="B889">
        <v>54</v>
      </c>
      <c r="C889" t="s">
        <v>26</v>
      </c>
      <c r="D889" t="s">
        <v>33</v>
      </c>
      <c r="E889">
        <v>4344.88</v>
      </c>
      <c r="F889">
        <v>6122.07</v>
      </c>
      <c r="G889" t="s">
        <v>19</v>
      </c>
      <c r="H889" s="1">
        <v>44966</v>
      </c>
      <c r="I889" s="1">
        <v>45361</v>
      </c>
      <c r="J889" t="s">
        <v>4207</v>
      </c>
      <c r="K889" t="s">
        <v>21</v>
      </c>
      <c r="L889" t="s">
        <v>22</v>
      </c>
      <c r="M889">
        <v>0.44</v>
      </c>
      <c r="N889" t="s">
        <v>4208</v>
      </c>
      <c r="O889" t="s">
        <v>4209</v>
      </c>
      <c r="P889" t="s">
        <v>4210</v>
      </c>
    </row>
    <row r="890" spans="1:16" x14ac:dyDescent="0.45">
      <c r="A890" t="s">
        <v>4211</v>
      </c>
      <c r="B890">
        <v>55</v>
      </c>
      <c r="C890" t="s">
        <v>66</v>
      </c>
      <c r="D890" t="s">
        <v>67</v>
      </c>
      <c r="E890">
        <v>1654.06</v>
      </c>
      <c r="F890">
        <v>2241.4699999999998</v>
      </c>
      <c r="G890" t="s">
        <v>19</v>
      </c>
      <c r="H890" s="1">
        <v>44818</v>
      </c>
      <c r="I890" s="1">
        <v>45251</v>
      </c>
      <c r="J890" t="s">
        <v>4212</v>
      </c>
      <c r="K890" t="s">
        <v>35</v>
      </c>
      <c r="L890" t="s">
        <v>43</v>
      </c>
      <c r="M890">
        <v>0.2</v>
      </c>
      <c r="N890" t="s">
        <v>4213</v>
      </c>
      <c r="O890" t="s">
        <v>4214</v>
      </c>
      <c r="P890" t="s">
        <v>4215</v>
      </c>
    </row>
    <row r="891" spans="1:16" x14ac:dyDescent="0.45">
      <c r="A891" t="s">
        <v>4216</v>
      </c>
      <c r="B891">
        <v>75</v>
      </c>
      <c r="C891" t="s">
        <v>83</v>
      </c>
      <c r="D891" t="s">
        <v>18</v>
      </c>
      <c r="E891">
        <v>3678.17</v>
      </c>
      <c r="F891">
        <v>3832.65</v>
      </c>
      <c r="G891" t="s">
        <v>104</v>
      </c>
      <c r="H891" s="1">
        <v>44803</v>
      </c>
      <c r="I891" s="1">
        <v>45097</v>
      </c>
      <c r="J891" t="s">
        <v>4217</v>
      </c>
      <c r="K891" t="s">
        <v>28</v>
      </c>
      <c r="L891" t="s">
        <v>36</v>
      </c>
      <c r="M891">
        <v>0.16</v>
      </c>
      <c r="N891" t="s">
        <v>4218</v>
      </c>
      <c r="O891" t="s">
        <v>4219</v>
      </c>
      <c r="P891" t="s">
        <v>4220</v>
      </c>
    </row>
    <row r="892" spans="1:16" x14ac:dyDescent="0.45">
      <c r="A892" t="s">
        <v>4221</v>
      </c>
      <c r="B892">
        <v>63</v>
      </c>
      <c r="C892" t="s">
        <v>26</v>
      </c>
      <c r="D892" t="s">
        <v>67</v>
      </c>
      <c r="E892">
        <v>3443.3</v>
      </c>
      <c r="F892">
        <v>13597.99</v>
      </c>
      <c r="G892" t="s">
        <v>104</v>
      </c>
      <c r="H892" s="1">
        <v>45288</v>
      </c>
      <c r="I892" s="1">
        <v>45433</v>
      </c>
      <c r="J892" t="s">
        <v>4222</v>
      </c>
      <c r="K892" t="s">
        <v>21</v>
      </c>
      <c r="L892" t="s">
        <v>36</v>
      </c>
      <c r="M892">
        <v>0.44</v>
      </c>
      <c r="N892" t="s">
        <v>4223</v>
      </c>
      <c r="O892" t="s">
        <v>4224</v>
      </c>
      <c r="P892" t="s">
        <v>4225</v>
      </c>
    </row>
    <row r="893" spans="1:16" x14ac:dyDescent="0.45">
      <c r="A893" t="s">
        <v>4226</v>
      </c>
      <c r="B893">
        <v>50</v>
      </c>
      <c r="C893" t="s">
        <v>55</v>
      </c>
      <c r="D893" t="s">
        <v>84</v>
      </c>
      <c r="E893">
        <v>4568.42</v>
      </c>
      <c r="F893">
        <v>11486.15</v>
      </c>
      <c r="G893" t="s">
        <v>19</v>
      </c>
      <c r="H893" s="1">
        <v>45477</v>
      </c>
      <c r="I893" s="1">
        <v>45824</v>
      </c>
      <c r="J893" t="s">
        <v>4227</v>
      </c>
      <c r="K893" t="s">
        <v>50</v>
      </c>
      <c r="L893" t="s">
        <v>36</v>
      </c>
      <c r="M893">
        <v>0.09</v>
      </c>
      <c r="N893" t="s">
        <v>4228</v>
      </c>
      <c r="O893" t="s">
        <v>4229</v>
      </c>
      <c r="P893" t="s">
        <v>4230</v>
      </c>
    </row>
    <row r="894" spans="1:16" x14ac:dyDescent="0.45">
      <c r="A894" t="s">
        <v>4231</v>
      </c>
      <c r="B894">
        <v>48</v>
      </c>
      <c r="C894" t="s">
        <v>48</v>
      </c>
      <c r="D894" t="s">
        <v>67</v>
      </c>
      <c r="E894">
        <v>2049.54</v>
      </c>
      <c r="F894">
        <v>10875.97</v>
      </c>
      <c r="G894" t="s">
        <v>19</v>
      </c>
      <c r="H894" s="1">
        <v>45099</v>
      </c>
      <c r="I894" s="1">
        <v>45733</v>
      </c>
      <c r="J894" t="s">
        <v>4232</v>
      </c>
      <c r="K894" t="s">
        <v>28</v>
      </c>
      <c r="L894" t="s">
        <v>22</v>
      </c>
      <c r="M894">
        <v>0.09</v>
      </c>
      <c r="N894" t="s">
        <v>4233</v>
      </c>
      <c r="O894">
        <v>5459.39</v>
      </c>
      <c r="P894" t="s">
        <v>4234</v>
      </c>
    </row>
    <row r="895" spans="1:16" x14ac:dyDescent="0.45">
      <c r="A895" t="s">
        <v>4235</v>
      </c>
      <c r="B895">
        <v>74</v>
      </c>
      <c r="C895" t="s">
        <v>48</v>
      </c>
      <c r="D895" t="s">
        <v>33</v>
      </c>
      <c r="E895">
        <v>3195.91</v>
      </c>
      <c r="F895">
        <v>15279.25</v>
      </c>
      <c r="G895" t="s">
        <v>19</v>
      </c>
      <c r="H895" s="1">
        <v>44880</v>
      </c>
      <c r="I895" s="1">
        <v>45280</v>
      </c>
      <c r="J895" t="s">
        <v>4236</v>
      </c>
      <c r="K895" t="s">
        <v>21</v>
      </c>
      <c r="L895" t="s">
        <v>22</v>
      </c>
      <c r="M895">
        <v>0.57999999999999996</v>
      </c>
      <c r="N895" t="s">
        <v>4237</v>
      </c>
      <c r="O895" t="s">
        <v>4238</v>
      </c>
      <c r="P895" t="s">
        <v>4239</v>
      </c>
    </row>
    <row r="896" spans="1:16" x14ac:dyDescent="0.45">
      <c r="A896" t="s">
        <v>4240</v>
      </c>
      <c r="B896">
        <v>65</v>
      </c>
      <c r="C896" t="s">
        <v>66</v>
      </c>
      <c r="D896" t="s">
        <v>33</v>
      </c>
      <c r="E896">
        <v>3965.54</v>
      </c>
      <c r="F896">
        <v>13677.78</v>
      </c>
      <c r="G896" t="s">
        <v>19</v>
      </c>
      <c r="H896" s="1">
        <v>45043</v>
      </c>
      <c r="I896" s="1">
        <v>45429</v>
      </c>
      <c r="J896" t="s">
        <v>4241</v>
      </c>
      <c r="K896" t="s">
        <v>21</v>
      </c>
      <c r="L896" t="s">
        <v>22</v>
      </c>
      <c r="M896">
        <v>0.67</v>
      </c>
      <c r="N896" t="s">
        <v>4242</v>
      </c>
      <c r="O896">
        <v>226170497</v>
      </c>
      <c r="P896" t="s">
        <v>4243</v>
      </c>
    </row>
    <row r="897" spans="1:16" x14ac:dyDescent="0.45">
      <c r="A897" t="s">
        <v>4244</v>
      </c>
      <c r="B897">
        <v>38</v>
      </c>
      <c r="C897" t="s">
        <v>26</v>
      </c>
      <c r="D897" t="s">
        <v>41</v>
      </c>
      <c r="E897">
        <v>1211.3399999999999</v>
      </c>
      <c r="F897">
        <v>17011.22</v>
      </c>
      <c r="G897" t="s">
        <v>104</v>
      </c>
      <c r="H897" s="1">
        <v>45468</v>
      </c>
      <c r="I897" s="1">
        <v>45661</v>
      </c>
      <c r="J897" t="s">
        <v>4245</v>
      </c>
      <c r="K897" t="s">
        <v>35</v>
      </c>
      <c r="L897" t="s">
        <v>36</v>
      </c>
      <c r="M897">
        <v>0.95</v>
      </c>
      <c r="N897" t="s">
        <v>4246</v>
      </c>
      <c r="O897">
        <f>61-8-1933-6627</f>
        <v>-8507</v>
      </c>
      <c r="P897" t="s">
        <v>4247</v>
      </c>
    </row>
    <row r="898" spans="1:16" x14ac:dyDescent="0.45">
      <c r="A898" t="s">
        <v>4248</v>
      </c>
      <c r="B898">
        <v>55</v>
      </c>
      <c r="C898" t="s">
        <v>48</v>
      </c>
      <c r="D898" t="s">
        <v>84</v>
      </c>
      <c r="E898">
        <v>3064.76</v>
      </c>
      <c r="F898">
        <v>8989.34</v>
      </c>
      <c r="G898" t="s">
        <v>19</v>
      </c>
      <c r="H898" s="1">
        <v>44854</v>
      </c>
      <c r="I898" s="1">
        <v>45531</v>
      </c>
      <c r="J898" t="s">
        <v>4249</v>
      </c>
      <c r="K898" t="s">
        <v>50</v>
      </c>
      <c r="L898" t="s">
        <v>22</v>
      </c>
      <c r="M898">
        <v>0.34</v>
      </c>
      <c r="N898" t="s">
        <v>4250</v>
      </c>
      <c r="O898" t="s">
        <v>4251</v>
      </c>
      <c r="P898" t="s">
        <v>4252</v>
      </c>
    </row>
    <row r="899" spans="1:16" x14ac:dyDescent="0.45">
      <c r="A899" t="s">
        <v>4253</v>
      </c>
      <c r="B899">
        <v>71</v>
      </c>
      <c r="C899" t="s">
        <v>83</v>
      </c>
      <c r="D899" t="s">
        <v>67</v>
      </c>
      <c r="E899">
        <v>3530.23</v>
      </c>
      <c r="F899">
        <v>9411.61</v>
      </c>
      <c r="G899" t="s">
        <v>19</v>
      </c>
      <c r="H899" s="1">
        <v>44972</v>
      </c>
      <c r="I899" s="1">
        <v>45523</v>
      </c>
      <c r="J899" t="s">
        <v>4254</v>
      </c>
      <c r="K899" t="s">
        <v>50</v>
      </c>
      <c r="L899" t="s">
        <v>36</v>
      </c>
      <c r="M899">
        <v>0.15</v>
      </c>
      <c r="N899" t="s">
        <v>4255</v>
      </c>
      <c r="O899" t="s">
        <v>4256</v>
      </c>
      <c r="P899" t="s">
        <v>4257</v>
      </c>
    </row>
    <row r="900" spans="1:16" x14ac:dyDescent="0.45">
      <c r="A900" t="s">
        <v>4258</v>
      </c>
      <c r="B900">
        <v>43</v>
      </c>
      <c r="C900" t="s">
        <v>55</v>
      </c>
      <c r="D900" t="s">
        <v>18</v>
      </c>
      <c r="E900">
        <v>1410.38</v>
      </c>
      <c r="F900">
        <v>12635.72</v>
      </c>
      <c r="G900" t="s">
        <v>85</v>
      </c>
      <c r="H900" s="1">
        <v>44961</v>
      </c>
      <c r="I900" s="1">
        <v>45753</v>
      </c>
      <c r="J900" t="s">
        <v>4259</v>
      </c>
      <c r="K900" t="s">
        <v>28</v>
      </c>
      <c r="L900" t="s">
        <v>43</v>
      </c>
      <c r="M900">
        <v>0.95</v>
      </c>
      <c r="N900" t="s">
        <v>4260</v>
      </c>
      <c r="O900" t="s">
        <v>4261</v>
      </c>
      <c r="P900" t="s">
        <v>4262</v>
      </c>
    </row>
    <row r="901" spans="1:16" x14ac:dyDescent="0.45">
      <c r="A901" t="s">
        <v>4263</v>
      </c>
      <c r="B901">
        <v>45</v>
      </c>
      <c r="C901" t="s">
        <v>26</v>
      </c>
      <c r="D901" t="s">
        <v>33</v>
      </c>
      <c r="E901">
        <v>1643.28</v>
      </c>
      <c r="F901">
        <v>18087.490000000002</v>
      </c>
      <c r="G901" t="s">
        <v>19</v>
      </c>
      <c r="H901" s="1">
        <v>45170</v>
      </c>
      <c r="I901" s="1">
        <v>45689</v>
      </c>
      <c r="J901" t="s">
        <v>4264</v>
      </c>
      <c r="K901" t="s">
        <v>35</v>
      </c>
      <c r="L901" t="s">
        <v>22</v>
      </c>
      <c r="M901">
        <v>0.79</v>
      </c>
      <c r="N901" t="s">
        <v>4265</v>
      </c>
      <c r="O901" t="s">
        <v>4266</v>
      </c>
      <c r="P901" t="s">
        <v>4267</v>
      </c>
    </row>
    <row r="902" spans="1:16" x14ac:dyDescent="0.45">
      <c r="A902" t="s">
        <v>4268</v>
      </c>
      <c r="B902">
        <v>20</v>
      </c>
      <c r="C902" t="s">
        <v>17</v>
      </c>
      <c r="D902" t="s">
        <v>18</v>
      </c>
      <c r="E902">
        <v>4983.63</v>
      </c>
      <c r="F902">
        <v>17419.57</v>
      </c>
      <c r="G902" t="s">
        <v>104</v>
      </c>
      <c r="H902" s="1">
        <v>44852</v>
      </c>
      <c r="I902" s="1">
        <v>45221</v>
      </c>
      <c r="J902" t="s">
        <v>4269</v>
      </c>
      <c r="K902" t="s">
        <v>35</v>
      </c>
      <c r="L902" t="s">
        <v>22</v>
      </c>
      <c r="M902">
        <v>0.42</v>
      </c>
      <c r="N902" t="s">
        <v>4270</v>
      </c>
      <c r="O902" t="s">
        <v>4271</v>
      </c>
      <c r="P902" t="s">
        <v>4272</v>
      </c>
    </row>
    <row r="903" spans="1:16" x14ac:dyDescent="0.45">
      <c r="A903" t="s">
        <v>4273</v>
      </c>
      <c r="B903">
        <v>40</v>
      </c>
      <c r="C903" t="s">
        <v>55</v>
      </c>
      <c r="D903" t="s">
        <v>84</v>
      </c>
      <c r="E903">
        <v>2279.2600000000002</v>
      </c>
      <c r="F903">
        <v>10.43</v>
      </c>
      <c r="G903" t="s">
        <v>85</v>
      </c>
      <c r="H903" s="1">
        <v>45487</v>
      </c>
      <c r="I903" s="1">
        <v>45600</v>
      </c>
      <c r="J903" t="s">
        <v>4274</v>
      </c>
      <c r="K903" t="s">
        <v>28</v>
      </c>
      <c r="L903" t="s">
        <v>36</v>
      </c>
      <c r="M903">
        <v>0.63</v>
      </c>
      <c r="N903" t="s">
        <v>4275</v>
      </c>
      <c r="O903" t="s">
        <v>4276</v>
      </c>
      <c r="P903" t="s">
        <v>4277</v>
      </c>
    </row>
    <row r="904" spans="1:16" x14ac:dyDescent="0.45">
      <c r="A904" t="s">
        <v>4278</v>
      </c>
      <c r="B904">
        <v>20</v>
      </c>
      <c r="C904" t="s">
        <v>17</v>
      </c>
      <c r="D904" t="s">
        <v>33</v>
      </c>
      <c r="E904">
        <v>4757.75</v>
      </c>
      <c r="F904">
        <v>18717.46</v>
      </c>
      <c r="G904" t="s">
        <v>19</v>
      </c>
      <c r="H904" s="1">
        <v>45025</v>
      </c>
      <c r="I904" s="1">
        <v>45808</v>
      </c>
      <c r="J904" t="s">
        <v>4279</v>
      </c>
      <c r="K904" t="s">
        <v>50</v>
      </c>
      <c r="L904" t="s">
        <v>22</v>
      </c>
      <c r="M904">
        <v>0.21</v>
      </c>
      <c r="N904" t="s">
        <v>4280</v>
      </c>
      <c r="O904" t="s">
        <v>4281</v>
      </c>
      <c r="P904" t="s">
        <v>4282</v>
      </c>
    </row>
    <row r="905" spans="1:16" x14ac:dyDescent="0.45">
      <c r="A905" t="s">
        <v>4283</v>
      </c>
      <c r="B905">
        <v>33</v>
      </c>
      <c r="C905" t="s">
        <v>48</v>
      </c>
      <c r="D905" t="s">
        <v>18</v>
      </c>
      <c r="E905">
        <v>3812.79</v>
      </c>
      <c r="F905">
        <v>2994.88</v>
      </c>
      <c r="G905" t="s">
        <v>104</v>
      </c>
      <c r="H905" s="1">
        <v>45029</v>
      </c>
      <c r="I905" s="1">
        <v>45705</v>
      </c>
      <c r="J905" t="s">
        <v>4284</v>
      </c>
      <c r="K905" t="s">
        <v>50</v>
      </c>
      <c r="L905" t="s">
        <v>43</v>
      </c>
      <c r="M905">
        <v>0.41</v>
      </c>
      <c r="N905" t="s">
        <v>4285</v>
      </c>
      <c r="O905" t="s">
        <v>4286</v>
      </c>
      <c r="P905" t="s">
        <v>4287</v>
      </c>
    </row>
    <row r="906" spans="1:16" x14ac:dyDescent="0.45">
      <c r="A906" t="s">
        <v>4288</v>
      </c>
      <c r="B906">
        <v>45</v>
      </c>
      <c r="C906" t="s">
        <v>48</v>
      </c>
      <c r="D906" t="s">
        <v>41</v>
      </c>
      <c r="E906">
        <v>1300.53</v>
      </c>
      <c r="F906">
        <v>17992.57</v>
      </c>
      <c r="G906" t="s">
        <v>19</v>
      </c>
      <c r="H906" s="1">
        <v>45280</v>
      </c>
      <c r="I906" s="1">
        <v>45730</v>
      </c>
      <c r="J906" t="s">
        <v>4289</v>
      </c>
      <c r="K906" t="s">
        <v>50</v>
      </c>
      <c r="L906" t="s">
        <v>36</v>
      </c>
      <c r="M906">
        <v>0.28000000000000003</v>
      </c>
      <c r="N906" t="s">
        <v>4290</v>
      </c>
      <c r="O906" t="s">
        <v>4291</v>
      </c>
      <c r="P906" t="s">
        <v>4292</v>
      </c>
    </row>
    <row r="907" spans="1:16" x14ac:dyDescent="0.45">
      <c r="A907" t="s">
        <v>4293</v>
      </c>
      <c r="B907">
        <v>63</v>
      </c>
      <c r="C907" t="s">
        <v>48</v>
      </c>
      <c r="D907" t="s">
        <v>41</v>
      </c>
      <c r="E907">
        <v>2596.2199999999998</v>
      </c>
      <c r="F907">
        <v>12452.82</v>
      </c>
      <c r="G907" t="s">
        <v>19</v>
      </c>
      <c r="H907" s="1">
        <v>44889</v>
      </c>
      <c r="I907" s="1">
        <v>45140</v>
      </c>
      <c r="J907" t="s">
        <v>4294</v>
      </c>
      <c r="K907" t="s">
        <v>50</v>
      </c>
      <c r="L907" t="s">
        <v>22</v>
      </c>
      <c r="M907">
        <v>0.32</v>
      </c>
      <c r="N907" t="s">
        <v>4295</v>
      </c>
      <c r="O907" t="s">
        <v>4296</v>
      </c>
      <c r="P907" t="s">
        <v>4297</v>
      </c>
    </row>
    <row r="908" spans="1:16" x14ac:dyDescent="0.45">
      <c r="A908" t="s">
        <v>4298</v>
      </c>
      <c r="B908">
        <v>29</v>
      </c>
      <c r="C908" t="s">
        <v>40</v>
      </c>
      <c r="D908" t="s">
        <v>18</v>
      </c>
      <c r="E908">
        <v>4707.79</v>
      </c>
      <c r="F908">
        <v>17242.3</v>
      </c>
      <c r="G908" t="s">
        <v>19</v>
      </c>
      <c r="H908" s="1">
        <v>45413</v>
      </c>
      <c r="I908" s="1">
        <v>45762</v>
      </c>
      <c r="J908" t="s">
        <v>4299</v>
      </c>
      <c r="K908" t="s">
        <v>21</v>
      </c>
      <c r="L908" t="s">
        <v>22</v>
      </c>
      <c r="M908">
        <v>0.63</v>
      </c>
      <c r="N908" t="s">
        <v>4300</v>
      </c>
      <c r="O908">
        <f>61-2-504-5688</f>
        <v>-6133</v>
      </c>
      <c r="P908" t="s">
        <v>4301</v>
      </c>
    </row>
    <row r="909" spans="1:16" x14ac:dyDescent="0.45">
      <c r="A909" t="s">
        <v>4302</v>
      </c>
      <c r="B909">
        <v>53</v>
      </c>
      <c r="C909" t="s">
        <v>40</v>
      </c>
      <c r="D909" t="s">
        <v>18</v>
      </c>
      <c r="E909">
        <v>3551.09</v>
      </c>
      <c r="F909">
        <v>2975.63</v>
      </c>
      <c r="G909" t="s">
        <v>85</v>
      </c>
      <c r="H909" s="1">
        <v>44775</v>
      </c>
      <c r="I909" s="1">
        <v>44981</v>
      </c>
      <c r="J909" t="s">
        <v>4303</v>
      </c>
      <c r="K909" t="s">
        <v>50</v>
      </c>
      <c r="L909" t="s">
        <v>36</v>
      </c>
      <c r="M909">
        <v>0.94</v>
      </c>
      <c r="N909" t="s">
        <v>4304</v>
      </c>
      <c r="O909" t="s">
        <v>4305</v>
      </c>
      <c r="P909" t="s">
        <v>4306</v>
      </c>
    </row>
    <row r="910" spans="1:16" x14ac:dyDescent="0.45">
      <c r="A910" t="s">
        <v>4307</v>
      </c>
      <c r="B910">
        <v>20</v>
      </c>
      <c r="C910" t="s">
        <v>83</v>
      </c>
      <c r="D910" t="s">
        <v>33</v>
      </c>
      <c r="E910">
        <v>553.75</v>
      </c>
      <c r="F910">
        <v>1220.33</v>
      </c>
      <c r="G910" t="s">
        <v>19</v>
      </c>
      <c r="H910" s="1">
        <v>45364</v>
      </c>
      <c r="I910" s="1">
        <v>45568</v>
      </c>
      <c r="J910" t="s">
        <v>4308</v>
      </c>
      <c r="K910" t="s">
        <v>21</v>
      </c>
      <c r="L910" t="s">
        <v>43</v>
      </c>
      <c r="M910">
        <v>0.08</v>
      </c>
      <c r="N910" t="s">
        <v>4309</v>
      </c>
      <c r="O910" t="s">
        <v>4310</v>
      </c>
      <c r="P910" t="s">
        <v>4311</v>
      </c>
    </row>
    <row r="911" spans="1:16" x14ac:dyDescent="0.45">
      <c r="A911" t="s">
        <v>4312</v>
      </c>
      <c r="B911">
        <v>50</v>
      </c>
      <c r="C911" t="s">
        <v>26</v>
      </c>
      <c r="D911" t="s">
        <v>67</v>
      </c>
      <c r="E911">
        <v>1884.08</v>
      </c>
      <c r="F911">
        <v>4096.71</v>
      </c>
      <c r="G911" t="s">
        <v>19</v>
      </c>
      <c r="H911" s="1">
        <v>45244</v>
      </c>
      <c r="I911" s="1">
        <v>45432</v>
      </c>
      <c r="J911" t="s">
        <v>4313</v>
      </c>
      <c r="K911" t="s">
        <v>21</v>
      </c>
      <c r="L911" t="s">
        <v>22</v>
      </c>
      <c r="M911">
        <v>0.44</v>
      </c>
      <c r="N911" t="s">
        <v>4314</v>
      </c>
      <c r="O911">
        <v>228499985</v>
      </c>
      <c r="P911" t="s">
        <v>4315</v>
      </c>
    </row>
    <row r="912" spans="1:16" x14ac:dyDescent="0.45">
      <c r="A912" t="s">
        <v>4316</v>
      </c>
      <c r="B912">
        <v>68</v>
      </c>
      <c r="C912" t="s">
        <v>66</v>
      </c>
      <c r="D912" t="s">
        <v>18</v>
      </c>
      <c r="E912">
        <v>3564.78</v>
      </c>
      <c r="F912">
        <v>9804.6</v>
      </c>
      <c r="G912" t="s">
        <v>85</v>
      </c>
      <c r="H912" s="1">
        <v>45266</v>
      </c>
      <c r="I912" s="1">
        <v>45419</v>
      </c>
      <c r="J912" t="s">
        <v>4317</v>
      </c>
      <c r="K912" t="s">
        <v>21</v>
      </c>
      <c r="L912" t="s">
        <v>36</v>
      </c>
      <c r="M912">
        <v>0.05</v>
      </c>
      <c r="N912" t="s">
        <v>4318</v>
      </c>
      <c r="O912" t="s">
        <v>4319</v>
      </c>
      <c r="P912" t="s">
        <v>4320</v>
      </c>
    </row>
    <row r="913" spans="1:16" x14ac:dyDescent="0.45">
      <c r="A913" t="s">
        <v>4321</v>
      </c>
      <c r="B913">
        <v>62</v>
      </c>
      <c r="C913" t="s">
        <v>40</v>
      </c>
      <c r="D913" t="s">
        <v>84</v>
      </c>
      <c r="E913">
        <v>578.55999999999995</v>
      </c>
      <c r="F913">
        <v>17959.36</v>
      </c>
      <c r="G913" t="s">
        <v>19</v>
      </c>
      <c r="H913" s="1">
        <v>45464</v>
      </c>
      <c r="I913" s="1">
        <v>45511</v>
      </c>
      <c r="J913" t="s">
        <v>4322</v>
      </c>
      <c r="K913" t="s">
        <v>50</v>
      </c>
      <c r="L913" t="s">
        <v>36</v>
      </c>
      <c r="M913">
        <v>0.96</v>
      </c>
      <c r="N913" t="s">
        <v>4323</v>
      </c>
      <c r="O913">
        <v>308.44670000000002</v>
      </c>
      <c r="P913" t="s">
        <v>4324</v>
      </c>
    </row>
    <row r="914" spans="1:16" x14ac:dyDescent="0.45">
      <c r="A914" t="s">
        <v>4325</v>
      </c>
      <c r="B914">
        <v>37</v>
      </c>
      <c r="C914" t="s">
        <v>40</v>
      </c>
      <c r="D914" t="s">
        <v>84</v>
      </c>
      <c r="E914">
        <v>4322.2700000000004</v>
      </c>
      <c r="F914">
        <v>15067.39</v>
      </c>
      <c r="G914" t="s">
        <v>104</v>
      </c>
      <c r="H914" s="1">
        <v>44842</v>
      </c>
      <c r="I914" s="1">
        <v>45102</v>
      </c>
      <c r="J914" t="s">
        <v>4326</v>
      </c>
      <c r="K914" t="s">
        <v>21</v>
      </c>
      <c r="L914" t="s">
        <v>43</v>
      </c>
      <c r="M914">
        <v>0.52</v>
      </c>
      <c r="N914" t="s">
        <v>4327</v>
      </c>
      <c r="O914" t="s">
        <v>4328</v>
      </c>
      <c r="P914" t="s">
        <v>4329</v>
      </c>
    </row>
    <row r="915" spans="1:16" x14ac:dyDescent="0.45">
      <c r="A915" t="s">
        <v>4330</v>
      </c>
      <c r="B915">
        <v>21</v>
      </c>
      <c r="C915" t="s">
        <v>26</v>
      </c>
      <c r="D915" t="s">
        <v>18</v>
      </c>
      <c r="E915">
        <v>4218.5</v>
      </c>
      <c r="F915">
        <v>6914.24</v>
      </c>
      <c r="G915" t="s">
        <v>19</v>
      </c>
      <c r="H915" s="1">
        <v>45157</v>
      </c>
      <c r="I915" s="1">
        <v>45517</v>
      </c>
      <c r="J915" t="s">
        <v>4331</v>
      </c>
      <c r="K915" t="s">
        <v>21</v>
      </c>
      <c r="L915" t="s">
        <v>36</v>
      </c>
      <c r="M915">
        <v>0.19</v>
      </c>
      <c r="N915" t="s">
        <v>4332</v>
      </c>
      <c r="O915">
        <f>61-449-960-619</f>
        <v>-1967</v>
      </c>
      <c r="P915" t="s">
        <v>4333</v>
      </c>
    </row>
    <row r="916" spans="1:16" x14ac:dyDescent="0.45">
      <c r="A916" t="s">
        <v>4334</v>
      </c>
      <c r="B916">
        <v>58</v>
      </c>
      <c r="C916" t="s">
        <v>40</v>
      </c>
      <c r="D916" t="s">
        <v>67</v>
      </c>
      <c r="E916">
        <v>2064.39</v>
      </c>
      <c r="F916">
        <v>5038.3500000000004</v>
      </c>
      <c r="G916" t="s">
        <v>19</v>
      </c>
      <c r="H916" s="1">
        <v>44993</v>
      </c>
      <c r="I916" s="1">
        <v>45351</v>
      </c>
      <c r="J916" t="s">
        <v>4335</v>
      </c>
      <c r="K916" t="s">
        <v>35</v>
      </c>
      <c r="L916" t="s">
        <v>36</v>
      </c>
      <c r="M916">
        <v>0.59</v>
      </c>
      <c r="N916" t="s">
        <v>4336</v>
      </c>
      <c r="O916" t="s">
        <v>4337</v>
      </c>
      <c r="P916" t="s">
        <v>4338</v>
      </c>
    </row>
    <row r="917" spans="1:16" x14ac:dyDescent="0.45">
      <c r="A917" t="s">
        <v>4339</v>
      </c>
      <c r="B917">
        <v>57</v>
      </c>
      <c r="C917" t="s">
        <v>40</v>
      </c>
      <c r="D917" t="s">
        <v>33</v>
      </c>
      <c r="E917">
        <v>1373.98</v>
      </c>
      <c r="F917">
        <v>6399.11</v>
      </c>
      <c r="G917" t="s">
        <v>19</v>
      </c>
      <c r="H917" s="1">
        <v>44898</v>
      </c>
      <c r="I917" s="1">
        <v>45797</v>
      </c>
      <c r="J917" t="s">
        <v>4340</v>
      </c>
      <c r="K917" t="s">
        <v>28</v>
      </c>
      <c r="L917" t="s">
        <v>43</v>
      </c>
      <c r="M917">
        <v>0.94</v>
      </c>
      <c r="N917" t="s">
        <v>4341</v>
      </c>
      <c r="O917" t="s">
        <v>4342</v>
      </c>
      <c r="P917" t="s">
        <v>4343</v>
      </c>
    </row>
    <row r="918" spans="1:16" x14ac:dyDescent="0.45">
      <c r="A918" t="s">
        <v>4344</v>
      </c>
      <c r="B918">
        <v>38</v>
      </c>
      <c r="C918" t="s">
        <v>40</v>
      </c>
      <c r="D918" t="s">
        <v>33</v>
      </c>
      <c r="E918">
        <v>3594.54</v>
      </c>
      <c r="F918">
        <v>4157.2299999999996</v>
      </c>
      <c r="G918" t="s">
        <v>19</v>
      </c>
      <c r="H918" s="1">
        <v>45125</v>
      </c>
      <c r="I918" s="1">
        <v>45207</v>
      </c>
      <c r="J918" t="s">
        <v>4345</v>
      </c>
      <c r="K918" t="s">
        <v>28</v>
      </c>
      <c r="L918" t="s">
        <v>43</v>
      </c>
      <c r="M918">
        <v>0.16</v>
      </c>
      <c r="N918" t="s">
        <v>4346</v>
      </c>
      <c r="O918" t="s">
        <v>4347</v>
      </c>
      <c r="P918" t="s">
        <v>4348</v>
      </c>
    </row>
    <row r="919" spans="1:16" x14ac:dyDescent="0.45">
      <c r="A919" t="s">
        <v>4349</v>
      </c>
      <c r="B919">
        <v>70</v>
      </c>
      <c r="C919" t="s">
        <v>17</v>
      </c>
      <c r="D919" t="s">
        <v>67</v>
      </c>
      <c r="E919">
        <v>669.9</v>
      </c>
      <c r="F919">
        <v>10377.27</v>
      </c>
      <c r="G919" t="s">
        <v>19</v>
      </c>
      <c r="H919" s="1">
        <v>45485</v>
      </c>
      <c r="I919" s="1">
        <v>45734</v>
      </c>
      <c r="J919" t="s">
        <v>4350</v>
      </c>
      <c r="K919" t="s">
        <v>35</v>
      </c>
      <c r="L919" t="s">
        <v>22</v>
      </c>
      <c r="M919">
        <v>0.74</v>
      </c>
      <c r="N919" t="s">
        <v>4351</v>
      </c>
      <c r="O919" t="s">
        <v>4352</v>
      </c>
      <c r="P919" t="s">
        <v>4353</v>
      </c>
    </row>
    <row r="920" spans="1:16" x14ac:dyDescent="0.45">
      <c r="A920" t="s">
        <v>4354</v>
      </c>
      <c r="B920">
        <v>69</v>
      </c>
      <c r="C920" t="s">
        <v>48</v>
      </c>
      <c r="D920" t="s">
        <v>41</v>
      </c>
      <c r="E920">
        <v>319.68</v>
      </c>
      <c r="F920">
        <v>11000.65</v>
      </c>
      <c r="G920" t="s">
        <v>19</v>
      </c>
      <c r="H920" s="1">
        <v>45025</v>
      </c>
      <c r="I920" s="1">
        <v>45659</v>
      </c>
      <c r="J920" t="s">
        <v>4355</v>
      </c>
      <c r="K920" t="s">
        <v>35</v>
      </c>
      <c r="L920" t="s">
        <v>43</v>
      </c>
      <c r="M920">
        <v>0.94</v>
      </c>
      <c r="N920" t="s">
        <v>4356</v>
      </c>
      <c r="O920">
        <v>61369859873</v>
      </c>
      <c r="P920" t="s">
        <v>4357</v>
      </c>
    </row>
    <row r="921" spans="1:16" x14ac:dyDescent="0.45">
      <c r="A921" t="s">
        <v>4358</v>
      </c>
      <c r="B921">
        <v>55</v>
      </c>
      <c r="C921" t="s">
        <v>83</v>
      </c>
      <c r="D921" t="s">
        <v>67</v>
      </c>
      <c r="E921">
        <v>1331.99</v>
      </c>
      <c r="F921">
        <v>9363.68</v>
      </c>
      <c r="G921" t="s">
        <v>19</v>
      </c>
      <c r="H921" s="1">
        <v>45475</v>
      </c>
      <c r="I921" s="1">
        <v>45574</v>
      </c>
      <c r="J921" t="s">
        <v>4359</v>
      </c>
      <c r="K921" t="s">
        <v>21</v>
      </c>
      <c r="L921" t="s">
        <v>36</v>
      </c>
      <c r="M921">
        <v>0.72</v>
      </c>
      <c r="N921" t="s">
        <v>4360</v>
      </c>
      <c r="O921" t="s">
        <v>4361</v>
      </c>
      <c r="P921" t="s">
        <v>4362</v>
      </c>
    </row>
    <row r="922" spans="1:16" x14ac:dyDescent="0.45">
      <c r="A922" t="s">
        <v>4363</v>
      </c>
      <c r="B922">
        <v>47</v>
      </c>
      <c r="C922" t="s">
        <v>55</v>
      </c>
      <c r="D922" t="s">
        <v>33</v>
      </c>
      <c r="E922">
        <v>1941.9</v>
      </c>
      <c r="F922">
        <v>12323.06</v>
      </c>
      <c r="G922" t="s">
        <v>19</v>
      </c>
      <c r="H922" s="1">
        <v>44804</v>
      </c>
      <c r="I922" s="1">
        <v>45752</v>
      </c>
      <c r="J922" t="s">
        <v>4364</v>
      </c>
      <c r="K922" t="s">
        <v>50</v>
      </c>
      <c r="L922" t="s">
        <v>22</v>
      </c>
      <c r="M922">
        <v>0.19</v>
      </c>
      <c r="N922" t="s">
        <v>4365</v>
      </c>
      <c r="O922" t="s">
        <v>4366</v>
      </c>
      <c r="P922" t="s">
        <v>4367</v>
      </c>
    </row>
    <row r="923" spans="1:16" x14ac:dyDescent="0.45">
      <c r="A923" t="s">
        <v>4368</v>
      </c>
      <c r="B923">
        <v>50</v>
      </c>
      <c r="C923" t="s">
        <v>17</v>
      </c>
      <c r="D923" t="s">
        <v>67</v>
      </c>
      <c r="E923">
        <v>403.65</v>
      </c>
      <c r="F923">
        <v>9333.2099999999991</v>
      </c>
      <c r="G923" t="s">
        <v>104</v>
      </c>
      <c r="H923" s="1">
        <v>44947</v>
      </c>
      <c r="I923" s="1">
        <v>45105</v>
      </c>
      <c r="J923" t="s">
        <v>4369</v>
      </c>
      <c r="K923" t="s">
        <v>28</v>
      </c>
      <c r="L923" t="s">
        <v>22</v>
      </c>
      <c r="M923">
        <v>0.65</v>
      </c>
      <c r="N923" t="s">
        <v>4370</v>
      </c>
      <c r="O923">
        <f>61-2-753-3086</f>
        <v>-3780</v>
      </c>
      <c r="P923" t="s">
        <v>4371</v>
      </c>
    </row>
    <row r="924" spans="1:16" x14ac:dyDescent="0.45">
      <c r="A924" t="s">
        <v>4372</v>
      </c>
      <c r="B924">
        <v>51</v>
      </c>
      <c r="C924" t="s">
        <v>17</v>
      </c>
      <c r="D924" t="s">
        <v>41</v>
      </c>
      <c r="E924">
        <v>1487.02</v>
      </c>
      <c r="F924">
        <v>5744.87</v>
      </c>
      <c r="G924" t="s">
        <v>104</v>
      </c>
      <c r="H924" s="1">
        <v>44967</v>
      </c>
      <c r="I924" s="1">
        <v>45604</v>
      </c>
      <c r="J924" t="s">
        <v>4373</v>
      </c>
      <c r="K924" t="s">
        <v>50</v>
      </c>
      <c r="L924" t="s">
        <v>36</v>
      </c>
      <c r="M924">
        <v>0.98</v>
      </c>
      <c r="N924" t="s">
        <v>4374</v>
      </c>
      <c r="O924" t="s">
        <v>4375</v>
      </c>
      <c r="P924" t="s">
        <v>4376</v>
      </c>
    </row>
    <row r="925" spans="1:16" x14ac:dyDescent="0.45">
      <c r="A925" t="s">
        <v>4377</v>
      </c>
      <c r="B925">
        <v>39</v>
      </c>
      <c r="C925" t="s">
        <v>26</v>
      </c>
      <c r="D925" t="s">
        <v>33</v>
      </c>
      <c r="E925">
        <v>1437.49</v>
      </c>
      <c r="F925">
        <v>12717.42</v>
      </c>
      <c r="G925" t="s">
        <v>19</v>
      </c>
      <c r="H925" s="1">
        <v>45258</v>
      </c>
      <c r="I925" s="1">
        <v>45587</v>
      </c>
      <c r="J925" t="s">
        <v>4378</v>
      </c>
      <c r="K925" t="s">
        <v>50</v>
      </c>
      <c r="L925" t="s">
        <v>43</v>
      </c>
      <c r="M925">
        <v>0.44</v>
      </c>
      <c r="N925" t="s">
        <v>4379</v>
      </c>
      <c r="O925">
        <v>742354288</v>
      </c>
      <c r="P925" t="s">
        <v>4380</v>
      </c>
    </row>
    <row r="926" spans="1:16" x14ac:dyDescent="0.45">
      <c r="A926" t="s">
        <v>4381</v>
      </c>
      <c r="B926">
        <v>55</v>
      </c>
      <c r="C926" t="s">
        <v>83</v>
      </c>
      <c r="D926" t="s">
        <v>18</v>
      </c>
      <c r="E926">
        <v>2069.6799999999998</v>
      </c>
      <c r="F926">
        <v>16078.45</v>
      </c>
      <c r="G926" t="s">
        <v>19</v>
      </c>
      <c r="H926" s="1">
        <v>44874</v>
      </c>
      <c r="I926" s="1">
        <v>45599</v>
      </c>
      <c r="J926" t="s">
        <v>4382</v>
      </c>
      <c r="K926" t="s">
        <v>50</v>
      </c>
      <c r="L926" t="s">
        <v>22</v>
      </c>
      <c r="M926">
        <v>0.14000000000000001</v>
      </c>
      <c r="N926" t="s">
        <v>4383</v>
      </c>
      <c r="O926" t="s">
        <v>4384</v>
      </c>
      <c r="P926" t="s">
        <v>4385</v>
      </c>
    </row>
    <row r="927" spans="1:16" x14ac:dyDescent="0.45">
      <c r="A927" t="s">
        <v>4386</v>
      </c>
      <c r="B927">
        <v>64</v>
      </c>
      <c r="C927" t="s">
        <v>40</v>
      </c>
      <c r="D927" t="s">
        <v>41</v>
      </c>
      <c r="E927">
        <v>1595.1</v>
      </c>
      <c r="F927">
        <v>358.28</v>
      </c>
      <c r="G927" t="s">
        <v>85</v>
      </c>
      <c r="H927" s="1">
        <v>45448</v>
      </c>
      <c r="I927" s="1">
        <v>45809</v>
      </c>
      <c r="J927" t="s">
        <v>4387</v>
      </c>
      <c r="K927" t="s">
        <v>21</v>
      </c>
      <c r="L927" t="s">
        <v>43</v>
      </c>
      <c r="M927">
        <v>0.32</v>
      </c>
      <c r="N927" t="s">
        <v>4388</v>
      </c>
      <c r="O927">
        <f>61-466-635-314</f>
        <v>-1354</v>
      </c>
      <c r="P927" t="s">
        <v>4389</v>
      </c>
    </row>
    <row r="928" spans="1:16" x14ac:dyDescent="0.45">
      <c r="A928" t="s">
        <v>4390</v>
      </c>
      <c r="B928">
        <v>43</v>
      </c>
      <c r="C928" t="s">
        <v>32</v>
      </c>
      <c r="D928" t="s">
        <v>67</v>
      </c>
      <c r="E928">
        <v>3077.19</v>
      </c>
      <c r="F928">
        <v>13667.9</v>
      </c>
      <c r="G928" t="s">
        <v>85</v>
      </c>
      <c r="H928" s="1">
        <v>45385</v>
      </c>
      <c r="I928" s="1">
        <v>45699</v>
      </c>
      <c r="J928" t="s">
        <v>4391</v>
      </c>
      <c r="K928" t="s">
        <v>35</v>
      </c>
      <c r="L928" t="s">
        <v>36</v>
      </c>
      <c r="M928">
        <v>0.47</v>
      </c>
      <c r="N928" t="s">
        <v>4392</v>
      </c>
      <c r="O928" t="s">
        <v>4393</v>
      </c>
      <c r="P928" t="s">
        <v>4394</v>
      </c>
    </row>
    <row r="929" spans="1:16" x14ac:dyDescent="0.45">
      <c r="A929" t="s">
        <v>4395</v>
      </c>
      <c r="B929">
        <v>49</v>
      </c>
      <c r="C929" t="s">
        <v>17</v>
      </c>
      <c r="D929" t="s">
        <v>67</v>
      </c>
      <c r="E929">
        <v>3605.77</v>
      </c>
      <c r="F929">
        <v>6389.53</v>
      </c>
      <c r="G929" t="s">
        <v>19</v>
      </c>
      <c r="H929" s="1">
        <v>45239</v>
      </c>
      <c r="I929" s="1">
        <v>45544</v>
      </c>
      <c r="J929" t="s">
        <v>4396</v>
      </c>
      <c r="K929" t="s">
        <v>50</v>
      </c>
      <c r="L929" t="s">
        <v>43</v>
      </c>
      <c r="M929">
        <v>0.09</v>
      </c>
      <c r="N929" t="s">
        <v>4397</v>
      </c>
      <c r="O929" t="s">
        <v>4398</v>
      </c>
      <c r="P929" t="s">
        <v>4399</v>
      </c>
    </row>
    <row r="930" spans="1:16" x14ac:dyDescent="0.45">
      <c r="A930" t="s">
        <v>4400</v>
      </c>
      <c r="B930">
        <v>53</v>
      </c>
      <c r="C930" t="s">
        <v>66</v>
      </c>
      <c r="D930" t="s">
        <v>41</v>
      </c>
      <c r="E930">
        <v>517.58000000000004</v>
      </c>
      <c r="F930">
        <v>11019.36</v>
      </c>
      <c r="G930" t="s">
        <v>19</v>
      </c>
      <c r="H930" s="1">
        <v>45339</v>
      </c>
      <c r="I930" s="1">
        <v>45867</v>
      </c>
      <c r="J930" t="s">
        <v>4401</v>
      </c>
      <c r="K930" t="s">
        <v>35</v>
      </c>
      <c r="L930" t="s">
        <v>22</v>
      </c>
      <c r="M930">
        <v>0.89</v>
      </c>
      <c r="N930" t="s">
        <v>4402</v>
      </c>
      <c r="O930" t="s">
        <v>4403</v>
      </c>
      <c r="P930" t="s">
        <v>4404</v>
      </c>
    </row>
    <row r="931" spans="1:16" x14ac:dyDescent="0.45">
      <c r="A931" t="s">
        <v>4405</v>
      </c>
      <c r="B931">
        <v>45</v>
      </c>
      <c r="C931" t="s">
        <v>26</v>
      </c>
      <c r="D931" t="s">
        <v>67</v>
      </c>
      <c r="E931">
        <v>2639.24</v>
      </c>
      <c r="F931">
        <v>742.87</v>
      </c>
      <c r="G931" t="s">
        <v>19</v>
      </c>
      <c r="H931" s="1">
        <v>45312</v>
      </c>
      <c r="I931" s="1">
        <v>45784</v>
      </c>
      <c r="J931" t="s">
        <v>4406</v>
      </c>
      <c r="K931" t="s">
        <v>28</v>
      </c>
      <c r="L931" t="s">
        <v>22</v>
      </c>
      <c r="M931">
        <v>0.65</v>
      </c>
      <c r="N931" t="s">
        <v>4407</v>
      </c>
      <c r="O931" t="s">
        <v>4408</v>
      </c>
      <c r="P931" t="s">
        <v>4409</v>
      </c>
    </row>
    <row r="932" spans="1:16" x14ac:dyDescent="0.45">
      <c r="A932" t="s">
        <v>4410</v>
      </c>
      <c r="B932">
        <v>37</v>
      </c>
      <c r="C932" t="s">
        <v>66</v>
      </c>
      <c r="D932" t="s">
        <v>18</v>
      </c>
      <c r="E932">
        <v>3608.31</v>
      </c>
      <c r="F932">
        <v>13905.11</v>
      </c>
      <c r="G932" t="s">
        <v>85</v>
      </c>
      <c r="H932" s="1">
        <v>45192</v>
      </c>
      <c r="I932" s="1">
        <v>45822</v>
      </c>
      <c r="J932" t="s">
        <v>4411</v>
      </c>
      <c r="K932" t="s">
        <v>21</v>
      </c>
      <c r="L932" t="s">
        <v>22</v>
      </c>
      <c r="M932">
        <v>0.48</v>
      </c>
      <c r="N932" t="s">
        <v>4412</v>
      </c>
      <c r="O932">
        <v>89426564</v>
      </c>
      <c r="P932" t="s">
        <v>3994</v>
      </c>
    </row>
    <row r="933" spans="1:16" x14ac:dyDescent="0.45">
      <c r="A933" t="s">
        <v>4413</v>
      </c>
      <c r="B933">
        <v>66</v>
      </c>
      <c r="C933" t="s">
        <v>48</v>
      </c>
      <c r="D933" t="s">
        <v>18</v>
      </c>
      <c r="E933">
        <v>2505.61</v>
      </c>
      <c r="F933">
        <v>3744.71</v>
      </c>
      <c r="G933" t="s">
        <v>104</v>
      </c>
      <c r="H933" s="1">
        <v>45080</v>
      </c>
      <c r="I933" s="1">
        <v>45131</v>
      </c>
      <c r="J933" t="s">
        <v>4414</v>
      </c>
      <c r="K933" t="s">
        <v>35</v>
      </c>
      <c r="L933" t="s">
        <v>43</v>
      </c>
      <c r="M933">
        <v>0.16</v>
      </c>
      <c r="N933" t="s">
        <v>4415</v>
      </c>
      <c r="O933">
        <v>888878677</v>
      </c>
      <c r="P933" t="s">
        <v>4416</v>
      </c>
    </row>
    <row r="934" spans="1:16" x14ac:dyDescent="0.45">
      <c r="A934" t="s">
        <v>4417</v>
      </c>
      <c r="B934">
        <v>27</v>
      </c>
      <c r="C934" t="s">
        <v>66</v>
      </c>
      <c r="D934" t="s">
        <v>18</v>
      </c>
      <c r="E934">
        <v>2681.81</v>
      </c>
      <c r="F934">
        <v>8535.52</v>
      </c>
      <c r="G934" t="s">
        <v>19</v>
      </c>
      <c r="H934" s="1">
        <v>44843</v>
      </c>
      <c r="I934" s="1">
        <v>45344</v>
      </c>
      <c r="J934" t="s">
        <v>4418</v>
      </c>
      <c r="K934" t="s">
        <v>35</v>
      </c>
      <c r="L934" t="s">
        <v>22</v>
      </c>
      <c r="M934">
        <v>0.85</v>
      </c>
      <c r="N934" t="s">
        <v>4419</v>
      </c>
      <c r="O934">
        <f>61-471-749-552</f>
        <v>-1711</v>
      </c>
      <c r="P934" t="s">
        <v>4420</v>
      </c>
    </row>
    <row r="935" spans="1:16" x14ac:dyDescent="0.45">
      <c r="A935" t="s">
        <v>4421</v>
      </c>
      <c r="B935">
        <v>44</v>
      </c>
      <c r="C935" t="s">
        <v>17</v>
      </c>
      <c r="D935" t="s">
        <v>18</v>
      </c>
      <c r="E935">
        <v>1684.46</v>
      </c>
      <c r="F935">
        <v>9808.0499999999993</v>
      </c>
      <c r="G935" t="s">
        <v>19</v>
      </c>
      <c r="H935" s="1">
        <v>45036</v>
      </c>
      <c r="I935" s="1">
        <v>45553</v>
      </c>
      <c r="J935" t="s">
        <v>4422</v>
      </c>
      <c r="K935" t="s">
        <v>50</v>
      </c>
      <c r="L935" t="s">
        <v>43</v>
      </c>
      <c r="M935">
        <v>0.3</v>
      </c>
      <c r="N935" t="s">
        <v>4423</v>
      </c>
      <c r="O935" t="s">
        <v>4424</v>
      </c>
      <c r="P935" t="s">
        <v>4425</v>
      </c>
    </row>
    <row r="936" spans="1:16" x14ac:dyDescent="0.45">
      <c r="A936" t="s">
        <v>4426</v>
      </c>
      <c r="B936">
        <v>21</v>
      </c>
      <c r="C936" t="s">
        <v>40</v>
      </c>
      <c r="D936" t="s">
        <v>67</v>
      </c>
      <c r="E936">
        <v>1379.02</v>
      </c>
      <c r="F936">
        <v>10764.43</v>
      </c>
      <c r="G936" t="s">
        <v>104</v>
      </c>
      <c r="H936" s="1">
        <v>45190</v>
      </c>
      <c r="I936" s="1">
        <v>45227</v>
      </c>
      <c r="J936" t="s">
        <v>4427</v>
      </c>
      <c r="K936" t="s">
        <v>35</v>
      </c>
      <c r="L936" t="s">
        <v>22</v>
      </c>
      <c r="M936">
        <v>0.17</v>
      </c>
      <c r="N936" t="s">
        <v>4428</v>
      </c>
      <c r="O936" t="s">
        <v>4429</v>
      </c>
      <c r="P936" t="s">
        <v>4430</v>
      </c>
    </row>
    <row r="937" spans="1:16" x14ac:dyDescent="0.45">
      <c r="A937" t="s">
        <v>4431</v>
      </c>
      <c r="B937">
        <v>31</v>
      </c>
      <c r="C937" t="s">
        <v>26</v>
      </c>
      <c r="D937" t="s">
        <v>67</v>
      </c>
      <c r="E937">
        <v>659.1</v>
      </c>
      <c r="F937">
        <v>15727.43</v>
      </c>
      <c r="G937" t="s">
        <v>19</v>
      </c>
      <c r="H937" s="1">
        <v>45407</v>
      </c>
      <c r="I937" s="1">
        <v>45666</v>
      </c>
      <c r="J937" t="s">
        <v>4432</v>
      </c>
      <c r="K937" t="s">
        <v>28</v>
      </c>
      <c r="L937" t="s">
        <v>22</v>
      </c>
      <c r="M937">
        <v>0.06</v>
      </c>
      <c r="N937" t="s">
        <v>4433</v>
      </c>
      <c r="O937" t="s">
        <v>4434</v>
      </c>
      <c r="P937" t="s">
        <v>4435</v>
      </c>
    </row>
    <row r="938" spans="1:16" x14ac:dyDescent="0.45">
      <c r="A938" t="s">
        <v>4436</v>
      </c>
      <c r="B938">
        <v>31</v>
      </c>
      <c r="C938" t="s">
        <v>55</v>
      </c>
      <c r="D938" t="s">
        <v>67</v>
      </c>
      <c r="E938">
        <v>4624.37</v>
      </c>
      <c r="F938">
        <v>463.01</v>
      </c>
      <c r="G938" t="s">
        <v>85</v>
      </c>
      <c r="H938" s="1">
        <v>45408</v>
      </c>
      <c r="I938" s="1">
        <v>45508</v>
      </c>
      <c r="J938" t="s">
        <v>4437</v>
      </c>
      <c r="K938" t="s">
        <v>28</v>
      </c>
      <c r="L938" t="s">
        <v>43</v>
      </c>
      <c r="M938">
        <v>0.12</v>
      </c>
      <c r="N938" t="s">
        <v>4438</v>
      </c>
      <c r="O938" t="s">
        <v>4439</v>
      </c>
      <c r="P938" t="s">
        <v>4440</v>
      </c>
    </row>
    <row r="939" spans="1:16" x14ac:dyDescent="0.45">
      <c r="A939" t="s">
        <v>4441</v>
      </c>
      <c r="B939">
        <v>65</v>
      </c>
      <c r="C939" t="s">
        <v>83</v>
      </c>
      <c r="D939" t="s">
        <v>18</v>
      </c>
      <c r="E939">
        <v>2790.62</v>
      </c>
      <c r="F939">
        <v>15590.53</v>
      </c>
      <c r="G939" t="s">
        <v>85</v>
      </c>
      <c r="H939" s="1">
        <v>44792</v>
      </c>
      <c r="I939" s="1">
        <v>45543</v>
      </c>
      <c r="J939" t="s">
        <v>4442</v>
      </c>
      <c r="K939" t="s">
        <v>28</v>
      </c>
      <c r="L939" t="s">
        <v>43</v>
      </c>
      <c r="M939">
        <v>0.66</v>
      </c>
      <c r="N939" t="s">
        <v>4443</v>
      </c>
      <c r="O939" t="s">
        <v>4444</v>
      </c>
      <c r="P939" t="s">
        <v>4445</v>
      </c>
    </row>
    <row r="940" spans="1:16" x14ac:dyDescent="0.45">
      <c r="A940" t="s">
        <v>4446</v>
      </c>
      <c r="B940">
        <v>72</v>
      </c>
      <c r="C940" t="s">
        <v>32</v>
      </c>
      <c r="D940" t="s">
        <v>18</v>
      </c>
      <c r="E940">
        <v>2450.58</v>
      </c>
      <c r="F940">
        <v>5791.15</v>
      </c>
      <c r="G940" t="s">
        <v>85</v>
      </c>
      <c r="H940" s="1">
        <v>45097</v>
      </c>
      <c r="I940" s="1">
        <v>45813</v>
      </c>
      <c r="J940" t="s">
        <v>4447</v>
      </c>
      <c r="K940" t="s">
        <v>28</v>
      </c>
      <c r="L940" t="s">
        <v>36</v>
      </c>
      <c r="M940">
        <v>0.34</v>
      </c>
      <c r="N940" t="s">
        <v>4448</v>
      </c>
      <c r="O940" t="s">
        <v>4449</v>
      </c>
      <c r="P940" t="s">
        <v>4450</v>
      </c>
    </row>
    <row r="941" spans="1:16" x14ac:dyDescent="0.45">
      <c r="A941" t="s">
        <v>4451</v>
      </c>
      <c r="B941">
        <v>19</v>
      </c>
      <c r="C941" t="s">
        <v>55</v>
      </c>
      <c r="D941" t="s">
        <v>33</v>
      </c>
      <c r="E941">
        <v>2738.6</v>
      </c>
      <c r="F941">
        <v>11559.06</v>
      </c>
      <c r="G941" t="s">
        <v>19</v>
      </c>
      <c r="H941" s="1">
        <v>44970</v>
      </c>
      <c r="I941" s="1">
        <v>45002</v>
      </c>
      <c r="J941" t="s">
        <v>4452</v>
      </c>
      <c r="K941" t="s">
        <v>35</v>
      </c>
      <c r="L941" t="s">
        <v>43</v>
      </c>
      <c r="M941">
        <v>0.78</v>
      </c>
      <c r="N941" t="s">
        <v>4453</v>
      </c>
      <c r="O941">
        <v>336267905</v>
      </c>
      <c r="P941" t="s">
        <v>4454</v>
      </c>
    </row>
    <row r="942" spans="1:16" x14ac:dyDescent="0.45">
      <c r="A942" t="s">
        <v>4455</v>
      </c>
      <c r="B942">
        <v>19</v>
      </c>
      <c r="C942" t="s">
        <v>66</v>
      </c>
      <c r="D942" t="s">
        <v>84</v>
      </c>
      <c r="E942">
        <v>2997.7</v>
      </c>
      <c r="F942">
        <v>9764.1299999999992</v>
      </c>
      <c r="G942" t="s">
        <v>19</v>
      </c>
      <c r="H942" s="1">
        <v>45286</v>
      </c>
      <c r="I942" s="1">
        <v>45336</v>
      </c>
      <c r="J942" t="s">
        <v>4456</v>
      </c>
      <c r="K942" t="s">
        <v>50</v>
      </c>
      <c r="L942" t="s">
        <v>36</v>
      </c>
      <c r="M942">
        <v>0.81</v>
      </c>
      <c r="N942" t="s">
        <v>4457</v>
      </c>
      <c r="O942">
        <v>61340573803</v>
      </c>
      <c r="P942" t="s">
        <v>4458</v>
      </c>
    </row>
    <row r="943" spans="1:16" x14ac:dyDescent="0.45">
      <c r="A943" t="s">
        <v>4459</v>
      </c>
      <c r="B943">
        <v>75</v>
      </c>
      <c r="C943" t="s">
        <v>55</v>
      </c>
      <c r="D943" t="s">
        <v>84</v>
      </c>
      <c r="E943">
        <v>2250.36</v>
      </c>
      <c r="F943">
        <v>9907.5499999999993</v>
      </c>
      <c r="G943" t="s">
        <v>19</v>
      </c>
      <c r="H943" s="1">
        <v>44855</v>
      </c>
      <c r="I943" s="1">
        <v>44987</v>
      </c>
      <c r="J943" t="s">
        <v>4460</v>
      </c>
      <c r="K943" t="s">
        <v>35</v>
      </c>
      <c r="L943" t="s">
        <v>43</v>
      </c>
      <c r="M943">
        <v>0.88</v>
      </c>
      <c r="N943" t="s">
        <v>4461</v>
      </c>
      <c r="O943" t="s">
        <v>4462</v>
      </c>
      <c r="P943" t="s">
        <v>4463</v>
      </c>
    </row>
    <row r="944" spans="1:16" x14ac:dyDescent="0.45">
      <c r="A944" t="s">
        <v>4464</v>
      </c>
      <c r="B944">
        <v>18</v>
      </c>
      <c r="C944" t="s">
        <v>17</v>
      </c>
      <c r="D944" t="s">
        <v>41</v>
      </c>
      <c r="E944">
        <v>4485.79</v>
      </c>
      <c r="F944">
        <v>3806.29</v>
      </c>
      <c r="G944" t="s">
        <v>19</v>
      </c>
      <c r="H944" s="1">
        <v>45068</v>
      </c>
      <c r="I944" s="1">
        <v>45470</v>
      </c>
      <c r="J944" t="s">
        <v>4465</v>
      </c>
      <c r="K944" t="s">
        <v>21</v>
      </c>
      <c r="L944" t="s">
        <v>43</v>
      </c>
      <c r="M944">
        <v>0.61</v>
      </c>
      <c r="N944" t="s">
        <v>4466</v>
      </c>
      <c r="O944" t="s">
        <v>4467</v>
      </c>
      <c r="P944" t="s">
        <v>4468</v>
      </c>
    </row>
    <row r="945" spans="1:16" x14ac:dyDescent="0.45">
      <c r="A945" t="s">
        <v>4469</v>
      </c>
      <c r="B945">
        <v>65</v>
      </c>
      <c r="C945" t="s">
        <v>48</v>
      </c>
      <c r="D945" t="s">
        <v>67</v>
      </c>
      <c r="E945">
        <v>1447.07</v>
      </c>
      <c r="F945">
        <v>14675.53</v>
      </c>
      <c r="G945" t="s">
        <v>85</v>
      </c>
      <c r="H945" s="1">
        <v>45473</v>
      </c>
      <c r="I945" s="1">
        <v>45695</v>
      </c>
      <c r="J945" t="s">
        <v>4470</v>
      </c>
      <c r="K945" t="s">
        <v>28</v>
      </c>
      <c r="L945" t="s">
        <v>36</v>
      </c>
      <c r="M945">
        <v>0.27</v>
      </c>
      <c r="N945" t="s">
        <v>4471</v>
      </c>
      <c r="O945" t="s">
        <v>4472</v>
      </c>
      <c r="P945" t="s">
        <v>4473</v>
      </c>
    </row>
    <row r="946" spans="1:16" x14ac:dyDescent="0.45">
      <c r="A946" t="s">
        <v>4474</v>
      </c>
      <c r="B946">
        <v>32</v>
      </c>
      <c r="C946" t="s">
        <v>17</v>
      </c>
      <c r="D946" t="s">
        <v>41</v>
      </c>
      <c r="E946">
        <v>2377.6799999999998</v>
      </c>
      <c r="F946">
        <v>3764.47</v>
      </c>
      <c r="G946" t="s">
        <v>85</v>
      </c>
      <c r="H946" s="1">
        <v>45064</v>
      </c>
      <c r="I946" s="1">
        <v>45326</v>
      </c>
      <c r="J946" t="s">
        <v>4475</v>
      </c>
      <c r="K946" t="s">
        <v>35</v>
      </c>
      <c r="L946" t="s">
        <v>36</v>
      </c>
      <c r="M946">
        <v>0.41</v>
      </c>
      <c r="N946" t="s">
        <v>4476</v>
      </c>
      <c r="O946" t="s">
        <v>4477</v>
      </c>
      <c r="P946" t="s">
        <v>4478</v>
      </c>
    </row>
    <row r="947" spans="1:16" x14ac:dyDescent="0.45">
      <c r="A947" t="s">
        <v>4479</v>
      </c>
      <c r="B947">
        <v>43</v>
      </c>
      <c r="C947" t="s">
        <v>17</v>
      </c>
      <c r="D947" t="s">
        <v>84</v>
      </c>
      <c r="E947">
        <v>472.42</v>
      </c>
      <c r="F947">
        <v>3501.67</v>
      </c>
      <c r="G947" t="s">
        <v>19</v>
      </c>
      <c r="H947" s="1">
        <v>44991</v>
      </c>
      <c r="I947" s="1">
        <v>45797</v>
      </c>
      <c r="J947" t="s">
        <v>4480</v>
      </c>
      <c r="K947" t="s">
        <v>50</v>
      </c>
      <c r="L947" t="s">
        <v>22</v>
      </c>
      <c r="M947">
        <v>0.67</v>
      </c>
      <c r="N947" t="s">
        <v>4481</v>
      </c>
      <c r="O947">
        <v>357308712</v>
      </c>
      <c r="P947" t="s">
        <v>4482</v>
      </c>
    </row>
    <row r="948" spans="1:16" x14ac:dyDescent="0.45">
      <c r="A948" t="s">
        <v>4483</v>
      </c>
      <c r="B948">
        <v>39</v>
      </c>
      <c r="C948" t="s">
        <v>40</v>
      </c>
      <c r="D948" t="s">
        <v>67</v>
      </c>
      <c r="E948">
        <v>1300.82</v>
      </c>
      <c r="F948">
        <v>1248.8599999999999</v>
      </c>
      <c r="G948" t="s">
        <v>19</v>
      </c>
      <c r="H948" s="1">
        <v>45417</v>
      </c>
      <c r="I948" s="1">
        <v>45546</v>
      </c>
      <c r="J948" t="s">
        <v>4484</v>
      </c>
      <c r="K948" t="s">
        <v>21</v>
      </c>
      <c r="L948" t="s">
        <v>43</v>
      </c>
      <c r="M948">
        <v>0.67</v>
      </c>
      <c r="N948" t="s">
        <v>4485</v>
      </c>
      <c r="O948">
        <f>61-2-913-2339</f>
        <v>-3193</v>
      </c>
      <c r="P948" t="s">
        <v>4486</v>
      </c>
    </row>
    <row r="949" spans="1:16" x14ac:dyDescent="0.45">
      <c r="A949" t="s">
        <v>4487</v>
      </c>
      <c r="B949">
        <v>38</v>
      </c>
      <c r="C949" t="s">
        <v>55</v>
      </c>
      <c r="D949" t="s">
        <v>84</v>
      </c>
      <c r="E949">
        <v>4941.84</v>
      </c>
      <c r="F949">
        <v>8807.43</v>
      </c>
      <c r="G949" t="s">
        <v>19</v>
      </c>
      <c r="H949" s="1">
        <v>45397</v>
      </c>
      <c r="I949" s="1">
        <v>45502</v>
      </c>
      <c r="J949" t="s">
        <v>4488</v>
      </c>
      <c r="K949" t="s">
        <v>21</v>
      </c>
      <c r="L949" t="s">
        <v>43</v>
      </c>
      <c r="M949">
        <v>0.77</v>
      </c>
      <c r="N949" t="s">
        <v>4489</v>
      </c>
      <c r="O949">
        <v>841908747</v>
      </c>
      <c r="P949" t="s">
        <v>4490</v>
      </c>
    </row>
    <row r="950" spans="1:16" x14ac:dyDescent="0.45">
      <c r="A950" t="s">
        <v>4491</v>
      </c>
      <c r="B950">
        <v>50</v>
      </c>
      <c r="C950" t="s">
        <v>26</v>
      </c>
      <c r="D950" t="s">
        <v>84</v>
      </c>
      <c r="E950">
        <v>932.04</v>
      </c>
      <c r="F950">
        <v>749.74</v>
      </c>
      <c r="G950" t="s">
        <v>19</v>
      </c>
      <c r="H950" s="1">
        <v>45075</v>
      </c>
      <c r="I950" s="1">
        <v>45211</v>
      </c>
      <c r="J950" t="s">
        <v>4492</v>
      </c>
      <c r="K950" t="s">
        <v>35</v>
      </c>
      <c r="L950" t="s">
        <v>36</v>
      </c>
      <c r="M950">
        <v>0.35</v>
      </c>
      <c r="N950" t="s">
        <v>4493</v>
      </c>
      <c r="O950">
        <v>374636455</v>
      </c>
      <c r="P950" t="s">
        <v>4494</v>
      </c>
    </row>
    <row r="951" spans="1:16" x14ac:dyDescent="0.45">
      <c r="A951" t="s">
        <v>4495</v>
      </c>
      <c r="B951">
        <v>41</v>
      </c>
      <c r="C951" t="s">
        <v>40</v>
      </c>
      <c r="D951" t="s">
        <v>84</v>
      </c>
      <c r="E951">
        <v>1296.8900000000001</v>
      </c>
      <c r="F951">
        <v>19315.86</v>
      </c>
      <c r="G951" t="s">
        <v>85</v>
      </c>
      <c r="H951" s="1">
        <v>45250</v>
      </c>
      <c r="I951" s="1">
        <v>45388</v>
      </c>
      <c r="J951" t="s">
        <v>4496</v>
      </c>
      <c r="K951" t="s">
        <v>35</v>
      </c>
      <c r="L951" t="s">
        <v>36</v>
      </c>
      <c r="M951">
        <v>0.84</v>
      </c>
      <c r="N951" t="s">
        <v>4497</v>
      </c>
      <c r="O951">
        <v>8509.7857000000004</v>
      </c>
      <c r="P951" t="s">
        <v>4498</v>
      </c>
    </row>
    <row r="952" spans="1:16" x14ac:dyDescent="0.45">
      <c r="A952" t="s">
        <v>4499</v>
      </c>
      <c r="B952">
        <v>69</v>
      </c>
      <c r="C952" t="s">
        <v>17</v>
      </c>
      <c r="D952" t="s">
        <v>33</v>
      </c>
      <c r="E952">
        <v>3168.93</v>
      </c>
      <c r="F952">
        <v>7265.82</v>
      </c>
      <c r="G952" t="s">
        <v>19</v>
      </c>
      <c r="H952" s="1">
        <v>45293</v>
      </c>
      <c r="I952" s="1">
        <v>45454</v>
      </c>
      <c r="J952" t="s">
        <v>4500</v>
      </c>
      <c r="K952" t="s">
        <v>28</v>
      </c>
      <c r="L952" t="s">
        <v>43</v>
      </c>
      <c r="M952">
        <v>0.06</v>
      </c>
      <c r="N952" t="s">
        <v>4501</v>
      </c>
      <c r="O952">
        <v>2113.9789000000001</v>
      </c>
      <c r="P952" t="s">
        <v>4502</v>
      </c>
    </row>
    <row r="953" spans="1:16" x14ac:dyDescent="0.45">
      <c r="A953" t="s">
        <v>4503</v>
      </c>
      <c r="B953">
        <v>34</v>
      </c>
      <c r="C953" t="s">
        <v>32</v>
      </c>
      <c r="D953" t="s">
        <v>84</v>
      </c>
      <c r="E953">
        <v>2587.33</v>
      </c>
      <c r="F953">
        <v>10811.39</v>
      </c>
      <c r="G953" t="s">
        <v>104</v>
      </c>
      <c r="H953" s="1">
        <v>44787</v>
      </c>
      <c r="I953" s="1">
        <v>45703</v>
      </c>
      <c r="J953" t="s">
        <v>4504</v>
      </c>
      <c r="K953" t="s">
        <v>35</v>
      </c>
      <c r="L953" t="s">
        <v>22</v>
      </c>
      <c r="M953">
        <v>1</v>
      </c>
      <c r="N953" t="s">
        <v>4505</v>
      </c>
      <c r="O953" t="s">
        <v>4506</v>
      </c>
      <c r="P953" t="s">
        <v>4507</v>
      </c>
    </row>
    <row r="954" spans="1:16" x14ac:dyDescent="0.45">
      <c r="A954" t="s">
        <v>4508</v>
      </c>
      <c r="B954">
        <v>21</v>
      </c>
      <c r="C954" t="s">
        <v>66</v>
      </c>
      <c r="D954" t="s">
        <v>33</v>
      </c>
      <c r="E954">
        <v>1779.21</v>
      </c>
      <c r="F954">
        <v>5618.48</v>
      </c>
      <c r="G954" t="s">
        <v>85</v>
      </c>
      <c r="H954" s="1">
        <v>45089</v>
      </c>
      <c r="I954" s="1">
        <v>45585</v>
      </c>
      <c r="J954" t="s">
        <v>4509</v>
      </c>
      <c r="K954" t="s">
        <v>50</v>
      </c>
      <c r="L954" t="s">
        <v>36</v>
      </c>
      <c r="M954">
        <v>0.34</v>
      </c>
      <c r="N954" t="s">
        <v>4510</v>
      </c>
      <c r="O954" t="s">
        <v>4511</v>
      </c>
      <c r="P954" t="s">
        <v>4512</v>
      </c>
    </row>
    <row r="955" spans="1:16" x14ac:dyDescent="0.45">
      <c r="A955" t="s">
        <v>4513</v>
      </c>
      <c r="B955">
        <v>65</v>
      </c>
      <c r="C955" t="s">
        <v>83</v>
      </c>
      <c r="D955" t="s">
        <v>33</v>
      </c>
      <c r="E955">
        <v>343.59</v>
      </c>
      <c r="F955">
        <v>9734.14</v>
      </c>
      <c r="G955" t="s">
        <v>19</v>
      </c>
      <c r="H955" s="1">
        <v>45346</v>
      </c>
      <c r="I955" s="1">
        <v>45752</v>
      </c>
      <c r="J955" t="s">
        <v>4514</v>
      </c>
      <c r="K955" t="s">
        <v>35</v>
      </c>
      <c r="L955" t="s">
        <v>36</v>
      </c>
      <c r="M955">
        <v>0.11</v>
      </c>
      <c r="N955" t="s">
        <v>4515</v>
      </c>
      <c r="O955" t="s">
        <v>4516</v>
      </c>
      <c r="P955" t="s">
        <v>4517</v>
      </c>
    </row>
    <row r="956" spans="1:16" x14ac:dyDescent="0.45">
      <c r="A956" t="s">
        <v>4518</v>
      </c>
      <c r="B956">
        <v>28</v>
      </c>
      <c r="C956" t="s">
        <v>17</v>
      </c>
      <c r="D956" t="s">
        <v>33</v>
      </c>
      <c r="E956">
        <v>3864.15</v>
      </c>
      <c r="F956">
        <v>5825.45</v>
      </c>
      <c r="G956" t="s">
        <v>19</v>
      </c>
      <c r="H956" s="1">
        <v>45009</v>
      </c>
      <c r="I956" s="1">
        <v>45566</v>
      </c>
      <c r="J956" t="s">
        <v>4519</v>
      </c>
      <c r="K956" t="s">
        <v>28</v>
      </c>
      <c r="L956" t="s">
        <v>43</v>
      </c>
      <c r="M956">
        <v>0.6</v>
      </c>
      <c r="N956" t="s">
        <v>4520</v>
      </c>
      <c r="O956" t="s">
        <v>4521</v>
      </c>
      <c r="P956" t="s">
        <v>4522</v>
      </c>
    </row>
    <row r="957" spans="1:16" x14ac:dyDescent="0.45">
      <c r="A957" t="s">
        <v>4523</v>
      </c>
      <c r="B957">
        <v>26</v>
      </c>
      <c r="C957" t="s">
        <v>17</v>
      </c>
      <c r="D957" t="s">
        <v>33</v>
      </c>
      <c r="E957">
        <v>4301.3</v>
      </c>
      <c r="F957">
        <v>17057.41</v>
      </c>
      <c r="G957" t="s">
        <v>19</v>
      </c>
      <c r="H957" s="1">
        <v>45406</v>
      </c>
      <c r="I957" s="1">
        <v>45651</v>
      </c>
      <c r="J957" t="s">
        <v>4524</v>
      </c>
      <c r="K957" t="s">
        <v>28</v>
      </c>
      <c r="L957" t="s">
        <v>22</v>
      </c>
      <c r="M957">
        <v>0.51</v>
      </c>
      <c r="N957" t="s">
        <v>4525</v>
      </c>
      <c r="O957" t="s">
        <v>4526</v>
      </c>
      <c r="P957" t="s">
        <v>4527</v>
      </c>
    </row>
    <row r="958" spans="1:16" x14ac:dyDescent="0.45">
      <c r="A958" t="s">
        <v>4528</v>
      </c>
      <c r="B958">
        <v>48</v>
      </c>
      <c r="C958" t="s">
        <v>66</v>
      </c>
      <c r="D958" t="s">
        <v>84</v>
      </c>
      <c r="E958">
        <v>4538.8100000000004</v>
      </c>
      <c r="F958">
        <v>4250.3999999999996</v>
      </c>
      <c r="G958" t="s">
        <v>19</v>
      </c>
      <c r="H958" s="1">
        <v>45344</v>
      </c>
      <c r="I958" s="1">
        <v>45671</v>
      </c>
      <c r="J958" t="s">
        <v>4529</v>
      </c>
      <c r="K958" t="s">
        <v>28</v>
      </c>
      <c r="L958" t="s">
        <v>36</v>
      </c>
      <c r="M958">
        <v>0.43</v>
      </c>
      <c r="N958" t="s">
        <v>4530</v>
      </c>
      <c r="O958" t="s">
        <v>4531</v>
      </c>
      <c r="P958" t="s">
        <v>4532</v>
      </c>
    </row>
    <row r="959" spans="1:16" x14ac:dyDescent="0.45">
      <c r="A959" t="s">
        <v>4533</v>
      </c>
      <c r="B959">
        <v>38</v>
      </c>
      <c r="C959" t="s">
        <v>66</v>
      </c>
      <c r="D959" t="s">
        <v>41</v>
      </c>
      <c r="E959">
        <v>3507.55</v>
      </c>
      <c r="F959">
        <v>18739.64</v>
      </c>
      <c r="G959" t="s">
        <v>85</v>
      </c>
      <c r="H959" s="1">
        <v>45427</v>
      </c>
      <c r="I959" s="1">
        <v>45500</v>
      </c>
      <c r="J959" t="s">
        <v>4534</v>
      </c>
      <c r="K959" t="s">
        <v>35</v>
      </c>
      <c r="L959" t="s">
        <v>43</v>
      </c>
      <c r="M959">
        <v>0.31</v>
      </c>
      <c r="N959" t="s">
        <v>4535</v>
      </c>
      <c r="O959" t="s">
        <v>4536</v>
      </c>
      <c r="P959" t="s">
        <v>4537</v>
      </c>
    </row>
    <row r="960" spans="1:16" x14ac:dyDescent="0.45">
      <c r="A960" t="s">
        <v>4538</v>
      </c>
      <c r="B960">
        <v>60</v>
      </c>
      <c r="C960" t="s">
        <v>48</v>
      </c>
      <c r="D960" t="s">
        <v>18</v>
      </c>
      <c r="E960">
        <v>4186.8999999999996</v>
      </c>
      <c r="F960">
        <v>9943.9699999999993</v>
      </c>
      <c r="G960" t="s">
        <v>19</v>
      </c>
      <c r="H960" s="1">
        <v>45298</v>
      </c>
      <c r="I960" s="1">
        <v>45374</v>
      </c>
      <c r="J960" t="s">
        <v>4539</v>
      </c>
      <c r="K960" t="s">
        <v>50</v>
      </c>
      <c r="L960" t="s">
        <v>36</v>
      </c>
      <c r="M960">
        <v>0.64</v>
      </c>
      <c r="N960" t="s">
        <v>4540</v>
      </c>
      <c r="O960" t="s">
        <v>4541</v>
      </c>
      <c r="P960" t="s">
        <v>4542</v>
      </c>
    </row>
    <row r="961" spans="1:16" x14ac:dyDescent="0.45">
      <c r="A961" t="s">
        <v>4543</v>
      </c>
      <c r="B961">
        <v>68</v>
      </c>
      <c r="C961" t="s">
        <v>26</v>
      </c>
      <c r="D961" t="s">
        <v>41</v>
      </c>
      <c r="E961">
        <v>2344.61</v>
      </c>
      <c r="F961">
        <v>10701.42</v>
      </c>
      <c r="G961" t="s">
        <v>104</v>
      </c>
      <c r="H961" s="1">
        <v>45388</v>
      </c>
      <c r="I961" s="1">
        <v>45580</v>
      </c>
      <c r="J961" t="s">
        <v>4544</v>
      </c>
      <c r="K961" t="s">
        <v>28</v>
      </c>
      <c r="L961" t="s">
        <v>22</v>
      </c>
      <c r="M961">
        <v>0.24</v>
      </c>
      <c r="N961" t="s">
        <v>4545</v>
      </c>
      <c r="O961">
        <f>61-408-869-505</f>
        <v>-1721</v>
      </c>
      <c r="P961" t="s">
        <v>4546</v>
      </c>
    </row>
    <row r="962" spans="1:16" x14ac:dyDescent="0.45">
      <c r="A962" t="s">
        <v>4547</v>
      </c>
      <c r="B962">
        <v>49</v>
      </c>
      <c r="C962" t="s">
        <v>17</v>
      </c>
      <c r="D962" t="s">
        <v>67</v>
      </c>
      <c r="E962">
        <v>1780.21</v>
      </c>
      <c r="F962">
        <v>14443.73</v>
      </c>
      <c r="G962" t="s">
        <v>104</v>
      </c>
      <c r="H962" s="1">
        <v>45143</v>
      </c>
      <c r="I962" s="1">
        <v>45807</v>
      </c>
      <c r="J962" t="s">
        <v>4548</v>
      </c>
      <c r="K962" t="s">
        <v>35</v>
      </c>
      <c r="L962" t="s">
        <v>43</v>
      </c>
      <c r="M962">
        <v>0.18</v>
      </c>
      <c r="N962" t="s">
        <v>4549</v>
      </c>
      <c r="O962">
        <v>61222349295</v>
      </c>
      <c r="P962" t="s">
        <v>4550</v>
      </c>
    </row>
    <row r="963" spans="1:16" x14ac:dyDescent="0.45">
      <c r="A963" t="s">
        <v>4551</v>
      </c>
      <c r="B963">
        <v>48</v>
      </c>
      <c r="C963" t="s">
        <v>32</v>
      </c>
      <c r="D963" t="s">
        <v>18</v>
      </c>
      <c r="E963">
        <v>3743.43</v>
      </c>
      <c r="F963">
        <v>8758.2099999999991</v>
      </c>
      <c r="G963" t="s">
        <v>104</v>
      </c>
      <c r="H963" s="1">
        <v>45430</v>
      </c>
      <c r="I963" s="1">
        <v>45816</v>
      </c>
      <c r="J963" t="s">
        <v>4552</v>
      </c>
      <c r="K963" t="s">
        <v>28</v>
      </c>
      <c r="L963" t="s">
        <v>36</v>
      </c>
      <c r="M963">
        <v>0.64</v>
      </c>
      <c r="N963" t="s">
        <v>4553</v>
      </c>
      <c r="O963" t="s">
        <v>4554</v>
      </c>
      <c r="P963" t="s">
        <v>4555</v>
      </c>
    </row>
    <row r="964" spans="1:16" x14ac:dyDescent="0.45">
      <c r="A964" t="s">
        <v>4556</v>
      </c>
      <c r="B964">
        <v>74</v>
      </c>
      <c r="C964" t="s">
        <v>26</v>
      </c>
      <c r="D964" t="s">
        <v>18</v>
      </c>
      <c r="E964">
        <v>3444.77</v>
      </c>
      <c r="F964">
        <v>10638.45</v>
      </c>
      <c r="G964" t="s">
        <v>85</v>
      </c>
      <c r="H964" s="1">
        <v>44839</v>
      </c>
      <c r="I964" s="1">
        <v>45747</v>
      </c>
      <c r="J964" t="s">
        <v>4557</v>
      </c>
      <c r="K964" t="s">
        <v>21</v>
      </c>
      <c r="L964" t="s">
        <v>22</v>
      </c>
      <c r="M964">
        <v>0.1</v>
      </c>
      <c r="N964" t="s">
        <v>4558</v>
      </c>
      <c r="O964" t="s">
        <v>4559</v>
      </c>
      <c r="P964" t="s">
        <v>4560</v>
      </c>
    </row>
    <row r="965" spans="1:16" x14ac:dyDescent="0.45">
      <c r="A965" t="s">
        <v>4561</v>
      </c>
      <c r="B965">
        <v>46</v>
      </c>
      <c r="C965" t="s">
        <v>48</v>
      </c>
      <c r="D965" t="s">
        <v>41</v>
      </c>
      <c r="E965">
        <v>4026.27</v>
      </c>
      <c r="F965">
        <v>16673.91</v>
      </c>
      <c r="G965" t="s">
        <v>104</v>
      </c>
      <c r="H965" s="1">
        <v>45365</v>
      </c>
      <c r="I965" s="1">
        <v>45590</v>
      </c>
      <c r="J965" t="s">
        <v>4562</v>
      </c>
      <c r="K965" t="s">
        <v>50</v>
      </c>
      <c r="L965" t="s">
        <v>22</v>
      </c>
      <c r="M965">
        <v>0.44</v>
      </c>
      <c r="N965" t="s">
        <v>4563</v>
      </c>
      <c r="O965" t="s">
        <v>4564</v>
      </c>
      <c r="P965" t="s">
        <v>4565</v>
      </c>
    </row>
    <row r="966" spans="1:16" x14ac:dyDescent="0.45">
      <c r="A966" t="s">
        <v>4566</v>
      </c>
      <c r="B966">
        <v>68</v>
      </c>
      <c r="C966" t="s">
        <v>17</v>
      </c>
      <c r="D966" t="s">
        <v>18</v>
      </c>
      <c r="E966">
        <v>721.78</v>
      </c>
      <c r="F966">
        <v>14816</v>
      </c>
      <c r="G966" t="s">
        <v>19</v>
      </c>
      <c r="H966" s="1">
        <v>44903</v>
      </c>
      <c r="I966" s="1">
        <v>45225</v>
      </c>
      <c r="J966" t="s">
        <v>4567</v>
      </c>
      <c r="K966" t="s">
        <v>35</v>
      </c>
      <c r="L966" t="s">
        <v>22</v>
      </c>
      <c r="M966">
        <v>0.03</v>
      </c>
      <c r="N966" t="s">
        <v>4568</v>
      </c>
      <c r="O966" t="s">
        <v>4569</v>
      </c>
      <c r="P966" t="s">
        <v>4570</v>
      </c>
    </row>
    <row r="967" spans="1:16" x14ac:dyDescent="0.45">
      <c r="A967" t="s">
        <v>4571</v>
      </c>
      <c r="B967">
        <v>62</v>
      </c>
      <c r="C967" t="s">
        <v>26</v>
      </c>
      <c r="D967" t="s">
        <v>18</v>
      </c>
      <c r="E967">
        <v>3012.11</v>
      </c>
      <c r="F967">
        <v>15162.21</v>
      </c>
      <c r="G967" t="s">
        <v>104</v>
      </c>
      <c r="H967" s="1">
        <v>45353</v>
      </c>
      <c r="I967" s="1">
        <v>45710</v>
      </c>
      <c r="J967" t="s">
        <v>4572</v>
      </c>
      <c r="K967" t="s">
        <v>28</v>
      </c>
      <c r="L967" t="s">
        <v>22</v>
      </c>
      <c r="M967">
        <v>0.96</v>
      </c>
      <c r="N967" t="s">
        <v>4573</v>
      </c>
      <c r="O967">
        <v>61829995146</v>
      </c>
      <c r="P967" t="s">
        <v>4574</v>
      </c>
    </row>
    <row r="968" spans="1:16" x14ac:dyDescent="0.45">
      <c r="A968" t="s">
        <v>4575</v>
      </c>
      <c r="B968">
        <v>58</v>
      </c>
      <c r="C968" t="s">
        <v>83</v>
      </c>
      <c r="D968" t="s">
        <v>67</v>
      </c>
      <c r="E968">
        <v>1079.6400000000001</v>
      </c>
      <c r="F968">
        <v>3147.39</v>
      </c>
      <c r="G968" t="s">
        <v>19</v>
      </c>
      <c r="H968" s="1">
        <v>45369</v>
      </c>
      <c r="I968" s="1">
        <v>45588</v>
      </c>
      <c r="J968" t="s">
        <v>4576</v>
      </c>
      <c r="K968" t="s">
        <v>50</v>
      </c>
      <c r="L968" t="s">
        <v>36</v>
      </c>
      <c r="M968">
        <v>0.82</v>
      </c>
      <c r="N968" t="s">
        <v>4577</v>
      </c>
      <c r="O968" t="s">
        <v>4578</v>
      </c>
      <c r="P968" t="s">
        <v>4579</v>
      </c>
    </row>
    <row r="969" spans="1:16" x14ac:dyDescent="0.45">
      <c r="A969" t="s">
        <v>4580</v>
      </c>
      <c r="B969">
        <v>46</v>
      </c>
      <c r="C969" t="s">
        <v>32</v>
      </c>
      <c r="D969" t="s">
        <v>84</v>
      </c>
      <c r="E969">
        <v>4124.99</v>
      </c>
      <c r="F969">
        <v>13571.42</v>
      </c>
      <c r="G969" t="s">
        <v>19</v>
      </c>
      <c r="H969" s="1">
        <v>45355</v>
      </c>
      <c r="I969" s="1">
        <v>45674</v>
      </c>
      <c r="J969" t="s">
        <v>4581</v>
      </c>
      <c r="K969" t="s">
        <v>28</v>
      </c>
      <c r="L969" t="s">
        <v>43</v>
      </c>
      <c r="M969">
        <v>0.38</v>
      </c>
      <c r="N969" t="s">
        <v>4582</v>
      </c>
      <c r="O969" t="s">
        <v>4583</v>
      </c>
      <c r="P969" t="s">
        <v>4584</v>
      </c>
    </row>
    <row r="970" spans="1:16" x14ac:dyDescent="0.45">
      <c r="A970" t="s">
        <v>4585</v>
      </c>
      <c r="B970">
        <v>47</v>
      </c>
      <c r="C970" t="s">
        <v>48</v>
      </c>
      <c r="D970" t="s">
        <v>67</v>
      </c>
      <c r="E970">
        <v>1405.41</v>
      </c>
      <c r="F970">
        <v>11724.31</v>
      </c>
      <c r="G970" t="s">
        <v>104</v>
      </c>
      <c r="H970" s="1">
        <v>45213</v>
      </c>
      <c r="I970" s="1">
        <v>45678</v>
      </c>
      <c r="J970" t="s">
        <v>4586</v>
      </c>
      <c r="K970" t="s">
        <v>50</v>
      </c>
      <c r="L970" t="s">
        <v>43</v>
      </c>
      <c r="M970">
        <v>0.7</v>
      </c>
      <c r="N970" t="s">
        <v>4587</v>
      </c>
      <c r="O970" t="s">
        <v>4588</v>
      </c>
      <c r="P970" t="s">
        <v>4589</v>
      </c>
    </row>
    <row r="971" spans="1:16" x14ac:dyDescent="0.45">
      <c r="A971" t="s">
        <v>4590</v>
      </c>
      <c r="B971">
        <v>60</v>
      </c>
      <c r="C971" t="s">
        <v>32</v>
      </c>
      <c r="D971" t="s">
        <v>41</v>
      </c>
      <c r="E971">
        <v>3720.67</v>
      </c>
      <c r="F971">
        <v>13152.39</v>
      </c>
      <c r="G971" t="s">
        <v>19</v>
      </c>
      <c r="H971" s="1">
        <v>44879</v>
      </c>
      <c r="I971" s="1">
        <v>45442</v>
      </c>
      <c r="J971" t="s">
        <v>4591</v>
      </c>
      <c r="K971" t="s">
        <v>28</v>
      </c>
      <c r="L971" t="s">
        <v>36</v>
      </c>
      <c r="M971">
        <v>0.89</v>
      </c>
      <c r="N971" t="s">
        <v>4592</v>
      </c>
      <c r="O971">
        <v>6038.4674000000005</v>
      </c>
      <c r="P971" t="s">
        <v>4593</v>
      </c>
    </row>
    <row r="972" spans="1:16" x14ac:dyDescent="0.45">
      <c r="A972" t="s">
        <v>4594</v>
      </c>
      <c r="B972">
        <v>20</v>
      </c>
      <c r="C972" t="s">
        <v>17</v>
      </c>
      <c r="D972" t="s">
        <v>33</v>
      </c>
      <c r="E972">
        <v>2989.46</v>
      </c>
      <c r="F972">
        <v>6884.93</v>
      </c>
      <c r="G972" t="s">
        <v>19</v>
      </c>
      <c r="H972" s="1">
        <v>45135</v>
      </c>
      <c r="I972" s="1">
        <v>45844</v>
      </c>
      <c r="J972" t="s">
        <v>4595</v>
      </c>
      <c r="K972" t="s">
        <v>35</v>
      </c>
      <c r="L972" t="s">
        <v>22</v>
      </c>
      <c r="M972">
        <v>0.87</v>
      </c>
      <c r="N972" t="s">
        <v>4596</v>
      </c>
      <c r="O972">
        <v>302915011</v>
      </c>
      <c r="P972" t="s">
        <v>171</v>
      </c>
    </row>
    <row r="973" spans="1:16" x14ac:dyDescent="0.45">
      <c r="A973" t="s">
        <v>4597</v>
      </c>
      <c r="B973">
        <v>30</v>
      </c>
      <c r="C973" t="s">
        <v>55</v>
      </c>
      <c r="D973" t="s">
        <v>84</v>
      </c>
      <c r="E973">
        <v>2986.97</v>
      </c>
      <c r="F973">
        <v>389.27</v>
      </c>
      <c r="G973" t="s">
        <v>19</v>
      </c>
      <c r="H973" s="1">
        <v>45436</v>
      </c>
      <c r="I973" s="1">
        <v>45734</v>
      </c>
      <c r="J973" t="s">
        <v>4598</v>
      </c>
      <c r="K973" t="s">
        <v>21</v>
      </c>
      <c r="L973" t="s">
        <v>43</v>
      </c>
      <c r="M973">
        <v>0.72</v>
      </c>
      <c r="N973" t="s">
        <v>4599</v>
      </c>
      <c r="O973" t="s">
        <v>4600</v>
      </c>
      <c r="P973" t="s">
        <v>4601</v>
      </c>
    </row>
    <row r="974" spans="1:16" x14ac:dyDescent="0.45">
      <c r="A974" t="s">
        <v>4602</v>
      </c>
      <c r="B974">
        <v>55</v>
      </c>
      <c r="C974" t="s">
        <v>55</v>
      </c>
      <c r="D974" t="s">
        <v>41</v>
      </c>
      <c r="E974">
        <v>2664.71</v>
      </c>
      <c r="F974">
        <v>13895.3</v>
      </c>
      <c r="G974" t="s">
        <v>19</v>
      </c>
      <c r="H974" s="1">
        <v>44973</v>
      </c>
      <c r="I974" s="1">
        <v>45095</v>
      </c>
      <c r="J974" t="s">
        <v>4603</v>
      </c>
      <c r="K974" t="s">
        <v>21</v>
      </c>
      <c r="L974" t="s">
        <v>36</v>
      </c>
      <c r="M974">
        <v>0.49</v>
      </c>
      <c r="N974" t="s">
        <v>4604</v>
      </c>
      <c r="O974" t="s">
        <v>4605</v>
      </c>
      <c r="P974" t="s">
        <v>4606</v>
      </c>
    </row>
    <row r="975" spans="1:16" x14ac:dyDescent="0.45">
      <c r="A975" t="s">
        <v>4607</v>
      </c>
      <c r="B975">
        <v>38</v>
      </c>
      <c r="C975" t="s">
        <v>26</v>
      </c>
      <c r="D975" t="s">
        <v>33</v>
      </c>
      <c r="E975">
        <v>3096.57</v>
      </c>
      <c r="F975">
        <v>10394.68</v>
      </c>
      <c r="G975" t="s">
        <v>19</v>
      </c>
      <c r="H975" s="1">
        <v>44875</v>
      </c>
      <c r="I975" s="1">
        <v>45701</v>
      </c>
      <c r="J975" t="s">
        <v>4608</v>
      </c>
      <c r="K975" t="s">
        <v>28</v>
      </c>
      <c r="L975" t="s">
        <v>22</v>
      </c>
      <c r="M975">
        <v>0.27</v>
      </c>
      <c r="N975" t="s">
        <v>4609</v>
      </c>
      <c r="O975">
        <v>61762416342</v>
      </c>
      <c r="P975" t="s">
        <v>4610</v>
      </c>
    </row>
    <row r="976" spans="1:16" x14ac:dyDescent="0.45">
      <c r="A976" t="s">
        <v>4611</v>
      </c>
      <c r="B976">
        <v>24</v>
      </c>
      <c r="C976" t="s">
        <v>55</v>
      </c>
      <c r="D976" t="s">
        <v>41</v>
      </c>
      <c r="E976">
        <v>3587.32</v>
      </c>
      <c r="F976">
        <v>10660.89</v>
      </c>
      <c r="G976" t="s">
        <v>104</v>
      </c>
      <c r="H976" s="1">
        <v>45306</v>
      </c>
      <c r="I976" s="1">
        <v>45826</v>
      </c>
      <c r="J976" t="s">
        <v>4612</v>
      </c>
      <c r="K976" t="s">
        <v>21</v>
      </c>
      <c r="L976" t="s">
        <v>22</v>
      </c>
      <c r="M976">
        <v>0.95</v>
      </c>
      <c r="N976" t="s">
        <v>4613</v>
      </c>
      <c r="O976" t="s">
        <v>4614</v>
      </c>
      <c r="P976" t="s">
        <v>4615</v>
      </c>
    </row>
    <row r="977" spans="1:16" x14ac:dyDescent="0.45">
      <c r="A977" t="s">
        <v>4616</v>
      </c>
      <c r="B977">
        <v>74</v>
      </c>
      <c r="C977" t="s">
        <v>66</v>
      </c>
      <c r="D977" t="s">
        <v>18</v>
      </c>
      <c r="E977">
        <v>4616.59</v>
      </c>
      <c r="F977">
        <v>16721.22</v>
      </c>
      <c r="G977" t="s">
        <v>19</v>
      </c>
      <c r="H977" s="1">
        <v>45424</v>
      </c>
      <c r="I977" s="1">
        <v>45573</v>
      </c>
      <c r="J977" t="s">
        <v>4617</v>
      </c>
      <c r="K977" t="s">
        <v>35</v>
      </c>
      <c r="L977" t="s">
        <v>36</v>
      </c>
      <c r="M977">
        <v>0.77</v>
      </c>
      <c r="N977" t="s">
        <v>4618</v>
      </c>
      <c r="O977">
        <f>61-426-717-334</f>
        <v>-1416</v>
      </c>
      <c r="P977" t="s">
        <v>4619</v>
      </c>
    </row>
    <row r="978" spans="1:16" x14ac:dyDescent="0.45">
      <c r="A978" t="s">
        <v>4620</v>
      </c>
      <c r="B978">
        <v>49</v>
      </c>
      <c r="C978" t="s">
        <v>17</v>
      </c>
      <c r="D978" t="s">
        <v>33</v>
      </c>
      <c r="E978">
        <v>1245.97</v>
      </c>
      <c r="F978">
        <v>19868.02</v>
      </c>
      <c r="G978" t="s">
        <v>19</v>
      </c>
      <c r="H978" s="1">
        <v>44825</v>
      </c>
      <c r="I978" s="1">
        <v>45180</v>
      </c>
      <c r="J978" t="s">
        <v>4621</v>
      </c>
      <c r="K978" t="s">
        <v>35</v>
      </c>
      <c r="L978" t="s">
        <v>36</v>
      </c>
      <c r="M978">
        <v>0.65</v>
      </c>
      <c r="N978" t="s">
        <v>4622</v>
      </c>
      <c r="O978" t="s">
        <v>4623</v>
      </c>
      <c r="P978" t="s">
        <v>4624</v>
      </c>
    </row>
    <row r="979" spans="1:16" x14ac:dyDescent="0.45">
      <c r="A979" t="s">
        <v>4625</v>
      </c>
      <c r="B979">
        <v>35</v>
      </c>
      <c r="C979" t="s">
        <v>55</v>
      </c>
      <c r="D979" t="s">
        <v>84</v>
      </c>
      <c r="E979">
        <v>3239.27</v>
      </c>
      <c r="F979">
        <v>17513.060000000001</v>
      </c>
      <c r="G979" t="s">
        <v>19</v>
      </c>
      <c r="H979" s="1">
        <v>44952</v>
      </c>
      <c r="I979" s="1">
        <v>45113</v>
      </c>
      <c r="J979" t="s">
        <v>4626</v>
      </c>
      <c r="K979" t="s">
        <v>35</v>
      </c>
      <c r="L979" t="s">
        <v>36</v>
      </c>
      <c r="M979">
        <v>0.83</v>
      </c>
      <c r="N979" t="s">
        <v>4627</v>
      </c>
      <c r="O979" t="s">
        <v>4628</v>
      </c>
      <c r="P979" t="s">
        <v>4629</v>
      </c>
    </row>
    <row r="980" spans="1:16" x14ac:dyDescent="0.45">
      <c r="A980" t="s">
        <v>4630</v>
      </c>
      <c r="B980">
        <v>74</v>
      </c>
      <c r="C980" t="s">
        <v>40</v>
      </c>
      <c r="D980" t="s">
        <v>41</v>
      </c>
      <c r="E980">
        <v>2262.63</v>
      </c>
      <c r="F980">
        <v>19021.060000000001</v>
      </c>
      <c r="G980" t="s">
        <v>19</v>
      </c>
      <c r="H980" s="1">
        <v>45395</v>
      </c>
      <c r="I980" s="1">
        <v>45474</v>
      </c>
      <c r="J980" t="s">
        <v>4631</v>
      </c>
      <c r="K980" t="s">
        <v>21</v>
      </c>
      <c r="L980" t="s">
        <v>22</v>
      </c>
      <c r="M980">
        <v>0.68</v>
      </c>
      <c r="N980" t="s">
        <v>4632</v>
      </c>
      <c r="O980" t="s">
        <v>4633</v>
      </c>
      <c r="P980" t="s">
        <v>4634</v>
      </c>
    </row>
    <row r="981" spans="1:16" x14ac:dyDescent="0.45">
      <c r="A981" t="s">
        <v>4635</v>
      </c>
      <c r="B981">
        <v>68</v>
      </c>
      <c r="C981" t="s">
        <v>40</v>
      </c>
      <c r="D981" t="s">
        <v>33</v>
      </c>
      <c r="E981">
        <v>306.74</v>
      </c>
      <c r="F981">
        <v>19394.78</v>
      </c>
      <c r="G981" t="s">
        <v>19</v>
      </c>
      <c r="H981" s="1">
        <v>45065</v>
      </c>
      <c r="I981" s="1">
        <v>45280</v>
      </c>
      <c r="J981" t="s">
        <v>4636</v>
      </c>
      <c r="K981" t="s">
        <v>21</v>
      </c>
      <c r="L981" t="s">
        <v>36</v>
      </c>
      <c r="M981">
        <v>0.61</v>
      </c>
      <c r="N981" t="s">
        <v>4637</v>
      </c>
      <c r="O981" t="s">
        <v>4638</v>
      </c>
      <c r="P981" t="s">
        <v>4639</v>
      </c>
    </row>
    <row r="982" spans="1:16" x14ac:dyDescent="0.45">
      <c r="A982" t="s">
        <v>4640</v>
      </c>
      <c r="B982">
        <v>69</v>
      </c>
      <c r="C982" t="s">
        <v>66</v>
      </c>
      <c r="D982" t="s">
        <v>33</v>
      </c>
      <c r="E982">
        <v>3846.87</v>
      </c>
      <c r="F982">
        <v>946.83</v>
      </c>
      <c r="G982" t="s">
        <v>19</v>
      </c>
      <c r="H982" s="1">
        <v>44943</v>
      </c>
      <c r="I982" s="1">
        <v>45050</v>
      </c>
      <c r="J982" t="s">
        <v>4641</v>
      </c>
      <c r="K982" t="s">
        <v>50</v>
      </c>
      <c r="L982" t="s">
        <v>22</v>
      </c>
      <c r="M982">
        <v>0.75</v>
      </c>
      <c r="N982" t="s">
        <v>4642</v>
      </c>
      <c r="O982" t="s">
        <v>4643</v>
      </c>
      <c r="P982" t="s">
        <v>4644</v>
      </c>
    </row>
    <row r="983" spans="1:16" x14ac:dyDescent="0.45">
      <c r="A983" t="s">
        <v>4645</v>
      </c>
      <c r="B983">
        <v>73</v>
      </c>
      <c r="C983" t="s">
        <v>40</v>
      </c>
      <c r="D983" t="s">
        <v>18</v>
      </c>
      <c r="E983">
        <v>4215.54</v>
      </c>
      <c r="F983">
        <v>15755.22</v>
      </c>
      <c r="G983" t="s">
        <v>19</v>
      </c>
      <c r="H983" s="1">
        <v>44972</v>
      </c>
      <c r="I983" s="1">
        <v>45286</v>
      </c>
      <c r="J983" t="s">
        <v>4646</v>
      </c>
      <c r="K983" t="s">
        <v>35</v>
      </c>
      <c r="L983" t="s">
        <v>22</v>
      </c>
      <c r="M983">
        <v>0.02</v>
      </c>
      <c r="N983" t="s">
        <v>4647</v>
      </c>
      <c r="O983" t="s">
        <v>4648</v>
      </c>
      <c r="P983" t="s">
        <v>4649</v>
      </c>
    </row>
    <row r="984" spans="1:16" x14ac:dyDescent="0.45">
      <c r="A984" t="s">
        <v>4650</v>
      </c>
      <c r="B984">
        <v>72</v>
      </c>
      <c r="C984" t="s">
        <v>66</v>
      </c>
      <c r="D984" t="s">
        <v>84</v>
      </c>
      <c r="E984">
        <v>4582.91</v>
      </c>
      <c r="F984">
        <v>473.34</v>
      </c>
      <c r="G984" t="s">
        <v>104</v>
      </c>
      <c r="H984" s="1">
        <v>45186</v>
      </c>
      <c r="I984" s="1">
        <v>45215</v>
      </c>
      <c r="J984" t="s">
        <v>4651</v>
      </c>
      <c r="K984" t="s">
        <v>21</v>
      </c>
      <c r="L984" t="s">
        <v>22</v>
      </c>
      <c r="M984">
        <v>0.08</v>
      </c>
      <c r="N984" t="s">
        <v>4652</v>
      </c>
      <c r="O984" t="s">
        <v>4653</v>
      </c>
      <c r="P984" t="s">
        <v>4654</v>
      </c>
    </row>
    <row r="985" spans="1:16" x14ac:dyDescent="0.45">
      <c r="A985" t="s">
        <v>4655</v>
      </c>
      <c r="B985">
        <v>37</v>
      </c>
      <c r="C985" t="s">
        <v>55</v>
      </c>
      <c r="D985" t="s">
        <v>67</v>
      </c>
      <c r="E985">
        <v>797.04</v>
      </c>
      <c r="F985">
        <v>17809.11</v>
      </c>
      <c r="G985" t="s">
        <v>104</v>
      </c>
      <c r="H985" s="1">
        <v>45418</v>
      </c>
      <c r="I985" s="1">
        <v>45487</v>
      </c>
      <c r="J985" t="s">
        <v>4656</v>
      </c>
      <c r="K985" t="s">
        <v>50</v>
      </c>
      <c r="L985" t="s">
        <v>36</v>
      </c>
      <c r="M985">
        <v>0.75</v>
      </c>
      <c r="N985" t="s">
        <v>4657</v>
      </c>
      <c r="O985">
        <f>61-3-4576-6442</f>
        <v>-10960</v>
      </c>
      <c r="P985" t="s">
        <v>4658</v>
      </c>
    </row>
    <row r="986" spans="1:16" x14ac:dyDescent="0.45">
      <c r="A986" t="s">
        <v>4659</v>
      </c>
      <c r="B986">
        <v>47</v>
      </c>
      <c r="C986" t="s">
        <v>17</v>
      </c>
      <c r="D986" t="s">
        <v>67</v>
      </c>
      <c r="E986">
        <v>1216.29</v>
      </c>
      <c r="F986">
        <v>18821.689999999999</v>
      </c>
      <c r="G986" t="s">
        <v>19</v>
      </c>
      <c r="H986" s="1">
        <v>45115</v>
      </c>
      <c r="I986" s="1">
        <v>45383</v>
      </c>
      <c r="J986" t="s">
        <v>4660</v>
      </c>
      <c r="K986" t="s">
        <v>28</v>
      </c>
      <c r="L986" t="s">
        <v>22</v>
      </c>
      <c r="M986">
        <v>0.8</v>
      </c>
      <c r="N986" t="s">
        <v>4661</v>
      </c>
      <c r="O986" t="s">
        <v>4662</v>
      </c>
      <c r="P986" t="s">
        <v>4663</v>
      </c>
    </row>
    <row r="987" spans="1:16" x14ac:dyDescent="0.45">
      <c r="A987" t="s">
        <v>4664</v>
      </c>
      <c r="B987">
        <v>36</v>
      </c>
      <c r="C987" t="s">
        <v>32</v>
      </c>
      <c r="D987" t="s">
        <v>41</v>
      </c>
      <c r="E987">
        <v>2140.59</v>
      </c>
      <c r="F987">
        <v>410.1</v>
      </c>
      <c r="G987" t="s">
        <v>19</v>
      </c>
      <c r="H987" s="1">
        <v>44920</v>
      </c>
      <c r="I987" s="1">
        <v>45667</v>
      </c>
      <c r="J987" t="s">
        <v>4665</v>
      </c>
      <c r="K987" t="s">
        <v>21</v>
      </c>
      <c r="L987" t="s">
        <v>22</v>
      </c>
      <c r="M987">
        <v>0.89</v>
      </c>
      <c r="N987" t="s">
        <v>4666</v>
      </c>
      <c r="O987" t="s">
        <v>4667</v>
      </c>
      <c r="P987" t="s">
        <v>4668</v>
      </c>
    </row>
    <row r="988" spans="1:16" x14ac:dyDescent="0.45">
      <c r="A988" t="s">
        <v>4669</v>
      </c>
      <c r="B988">
        <v>18</v>
      </c>
      <c r="C988" t="s">
        <v>17</v>
      </c>
      <c r="D988" t="s">
        <v>84</v>
      </c>
      <c r="E988">
        <v>3049.17</v>
      </c>
      <c r="F988">
        <v>18810.810000000001</v>
      </c>
      <c r="G988" t="s">
        <v>104</v>
      </c>
      <c r="H988" s="1">
        <v>45239</v>
      </c>
      <c r="I988" s="1">
        <v>45488</v>
      </c>
      <c r="J988" t="s">
        <v>4670</v>
      </c>
      <c r="K988" t="s">
        <v>50</v>
      </c>
      <c r="L988" t="s">
        <v>36</v>
      </c>
      <c r="M988">
        <v>0.12</v>
      </c>
      <c r="N988" t="s">
        <v>4671</v>
      </c>
      <c r="O988">
        <v>2222.3903</v>
      </c>
      <c r="P988" t="s">
        <v>4672</v>
      </c>
    </row>
    <row r="989" spans="1:16" x14ac:dyDescent="0.45">
      <c r="A989" t="s">
        <v>4673</v>
      </c>
      <c r="B989">
        <v>71</v>
      </c>
      <c r="C989" t="s">
        <v>40</v>
      </c>
      <c r="D989" t="s">
        <v>84</v>
      </c>
      <c r="E989">
        <v>3752.93</v>
      </c>
      <c r="F989">
        <v>6346.81</v>
      </c>
      <c r="G989" t="s">
        <v>19</v>
      </c>
      <c r="H989" s="1">
        <v>45146</v>
      </c>
      <c r="I989" s="1">
        <v>45488</v>
      </c>
      <c r="J989" t="s">
        <v>4674</v>
      </c>
      <c r="K989" t="s">
        <v>28</v>
      </c>
      <c r="L989" t="s">
        <v>36</v>
      </c>
      <c r="M989">
        <v>0.54</v>
      </c>
      <c r="N989" t="s">
        <v>4675</v>
      </c>
      <c r="O989" t="s">
        <v>4676</v>
      </c>
      <c r="P989" t="s">
        <v>4677</v>
      </c>
    </row>
    <row r="990" spans="1:16" x14ac:dyDescent="0.45">
      <c r="A990" t="s">
        <v>4678</v>
      </c>
      <c r="B990">
        <v>70</v>
      </c>
      <c r="C990" t="s">
        <v>66</v>
      </c>
      <c r="D990" t="s">
        <v>67</v>
      </c>
      <c r="E990">
        <v>525.45000000000005</v>
      </c>
      <c r="F990">
        <v>18793.77</v>
      </c>
      <c r="G990" t="s">
        <v>85</v>
      </c>
      <c r="H990" s="1">
        <v>45121</v>
      </c>
      <c r="I990" s="1">
        <v>45388</v>
      </c>
      <c r="J990" t="s">
        <v>4679</v>
      </c>
      <c r="K990" t="s">
        <v>28</v>
      </c>
      <c r="L990" t="s">
        <v>22</v>
      </c>
      <c r="M990">
        <v>0.72</v>
      </c>
      <c r="N990" t="s">
        <v>4680</v>
      </c>
      <c r="O990" t="s">
        <v>4681</v>
      </c>
      <c r="P990" t="s">
        <v>4682</v>
      </c>
    </row>
    <row r="991" spans="1:16" x14ac:dyDescent="0.45">
      <c r="A991" t="s">
        <v>4683</v>
      </c>
      <c r="B991">
        <v>23</v>
      </c>
      <c r="C991" t="s">
        <v>26</v>
      </c>
      <c r="D991" t="s">
        <v>41</v>
      </c>
      <c r="E991">
        <v>3621.12</v>
      </c>
      <c r="F991">
        <v>515.71</v>
      </c>
      <c r="G991" t="s">
        <v>19</v>
      </c>
      <c r="H991" s="1">
        <v>45333</v>
      </c>
      <c r="I991" s="1">
        <v>45528</v>
      </c>
      <c r="J991" t="s">
        <v>4684</v>
      </c>
      <c r="K991" t="s">
        <v>21</v>
      </c>
      <c r="L991" t="s">
        <v>43</v>
      </c>
      <c r="M991">
        <v>0.06</v>
      </c>
      <c r="N991" t="s">
        <v>4685</v>
      </c>
      <c r="O991" t="s">
        <v>4686</v>
      </c>
      <c r="P991" t="s">
        <v>4687</v>
      </c>
    </row>
    <row r="992" spans="1:16" x14ac:dyDescent="0.45">
      <c r="A992" t="s">
        <v>4688</v>
      </c>
      <c r="B992">
        <v>39</v>
      </c>
      <c r="C992" t="s">
        <v>40</v>
      </c>
      <c r="D992" t="s">
        <v>33</v>
      </c>
      <c r="E992">
        <v>513.58000000000004</v>
      </c>
      <c r="F992">
        <v>14684.96</v>
      </c>
      <c r="G992" t="s">
        <v>85</v>
      </c>
      <c r="H992" s="1">
        <v>45334</v>
      </c>
      <c r="I992" s="1">
        <v>45504</v>
      </c>
      <c r="J992" t="s">
        <v>4689</v>
      </c>
      <c r="K992" t="s">
        <v>28</v>
      </c>
      <c r="L992" t="s">
        <v>36</v>
      </c>
      <c r="M992">
        <v>0.82</v>
      </c>
      <c r="N992" t="s">
        <v>4690</v>
      </c>
      <c r="O992" t="s">
        <v>4691</v>
      </c>
      <c r="P992" t="s">
        <v>4692</v>
      </c>
    </row>
    <row r="993" spans="1:16" x14ac:dyDescent="0.45">
      <c r="A993" t="s">
        <v>4693</v>
      </c>
      <c r="B993">
        <v>36</v>
      </c>
      <c r="C993" t="s">
        <v>83</v>
      </c>
      <c r="D993" t="s">
        <v>18</v>
      </c>
      <c r="E993">
        <v>4911.1899999999996</v>
      </c>
      <c r="F993">
        <v>8771.1200000000008</v>
      </c>
      <c r="G993" t="s">
        <v>19</v>
      </c>
      <c r="H993" s="1">
        <v>45276</v>
      </c>
      <c r="I993" s="1">
        <v>45784</v>
      </c>
      <c r="J993" t="s">
        <v>4694</v>
      </c>
      <c r="K993" t="s">
        <v>50</v>
      </c>
      <c r="L993" t="s">
        <v>22</v>
      </c>
      <c r="M993">
        <v>0.45</v>
      </c>
      <c r="N993" t="s">
        <v>4695</v>
      </c>
      <c r="O993" t="s">
        <v>4696</v>
      </c>
      <c r="P993" t="s">
        <v>4697</v>
      </c>
    </row>
    <row r="994" spans="1:16" x14ac:dyDescent="0.45">
      <c r="A994" t="s">
        <v>4698</v>
      </c>
      <c r="B994">
        <v>20</v>
      </c>
      <c r="C994" t="s">
        <v>40</v>
      </c>
      <c r="D994" t="s">
        <v>33</v>
      </c>
      <c r="E994">
        <v>2310.06</v>
      </c>
      <c r="F994">
        <v>12758.23</v>
      </c>
      <c r="G994" t="s">
        <v>19</v>
      </c>
      <c r="H994" s="1">
        <v>45370</v>
      </c>
      <c r="I994" s="1">
        <v>45443</v>
      </c>
      <c r="J994" t="s">
        <v>4699</v>
      </c>
      <c r="K994" t="s">
        <v>50</v>
      </c>
      <c r="L994" t="s">
        <v>43</v>
      </c>
      <c r="M994">
        <v>0.38</v>
      </c>
      <c r="N994" t="s">
        <v>4700</v>
      </c>
      <c r="O994" t="s">
        <v>4701</v>
      </c>
      <c r="P994" t="s">
        <v>4702</v>
      </c>
    </row>
    <row r="995" spans="1:16" x14ac:dyDescent="0.45">
      <c r="A995" t="s">
        <v>4703</v>
      </c>
      <c r="B995">
        <v>68</v>
      </c>
      <c r="C995" t="s">
        <v>66</v>
      </c>
      <c r="D995" t="s">
        <v>41</v>
      </c>
      <c r="E995">
        <v>4857.17</v>
      </c>
      <c r="F995">
        <v>12700.83</v>
      </c>
      <c r="G995" t="s">
        <v>85</v>
      </c>
      <c r="H995" s="1">
        <v>45322</v>
      </c>
      <c r="I995" s="1">
        <v>45839</v>
      </c>
      <c r="J995" t="s">
        <v>4704</v>
      </c>
      <c r="K995" t="s">
        <v>21</v>
      </c>
      <c r="L995" t="s">
        <v>43</v>
      </c>
      <c r="M995">
        <v>0.84</v>
      </c>
      <c r="N995" t="s">
        <v>4705</v>
      </c>
      <c r="O995">
        <f>61-8-6322-7632</f>
        <v>-13901</v>
      </c>
      <c r="P995" t="s">
        <v>4706</v>
      </c>
    </row>
    <row r="996" spans="1:16" x14ac:dyDescent="0.45">
      <c r="A996" t="s">
        <v>4707</v>
      </c>
      <c r="B996">
        <v>38</v>
      </c>
      <c r="C996" t="s">
        <v>26</v>
      </c>
      <c r="D996" t="s">
        <v>18</v>
      </c>
      <c r="E996">
        <v>4473.57</v>
      </c>
      <c r="F996">
        <v>2086.91</v>
      </c>
      <c r="G996" t="s">
        <v>19</v>
      </c>
      <c r="H996" s="1">
        <v>44872</v>
      </c>
      <c r="I996" s="1">
        <v>45685</v>
      </c>
      <c r="J996" t="s">
        <v>4708</v>
      </c>
      <c r="K996" t="s">
        <v>50</v>
      </c>
      <c r="L996" t="s">
        <v>22</v>
      </c>
      <c r="M996">
        <v>0.76</v>
      </c>
      <c r="N996" t="s">
        <v>4709</v>
      </c>
      <c r="O996" t="s">
        <v>4710</v>
      </c>
      <c r="P996" t="s">
        <v>4711</v>
      </c>
    </row>
    <row r="997" spans="1:16" x14ac:dyDescent="0.45">
      <c r="A997" t="s">
        <v>4712</v>
      </c>
      <c r="B997">
        <v>44</v>
      </c>
      <c r="C997" t="s">
        <v>17</v>
      </c>
      <c r="D997" t="s">
        <v>67</v>
      </c>
      <c r="E997">
        <v>797.07</v>
      </c>
      <c r="F997">
        <v>760.27</v>
      </c>
      <c r="G997" t="s">
        <v>104</v>
      </c>
      <c r="H997" s="1">
        <v>45303</v>
      </c>
      <c r="I997" s="1">
        <v>45539</v>
      </c>
      <c r="J997" t="s">
        <v>4713</v>
      </c>
      <c r="K997" t="s">
        <v>28</v>
      </c>
      <c r="L997" t="s">
        <v>43</v>
      </c>
      <c r="M997">
        <v>0.71</v>
      </c>
      <c r="N997" t="s">
        <v>4714</v>
      </c>
      <c r="O997" t="s">
        <v>4715</v>
      </c>
      <c r="P997" t="s">
        <v>4716</v>
      </c>
    </row>
    <row r="998" spans="1:16" x14ac:dyDescent="0.45">
      <c r="A998" t="s">
        <v>4717</v>
      </c>
      <c r="B998">
        <v>75</v>
      </c>
      <c r="C998" t="s">
        <v>32</v>
      </c>
      <c r="D998" t="s">
        <v>67</v>
      </c>
      <c r="E998">
        <v>2496.7600000000002</v>
      </c>
      <c r="F998">
        <v>7523.49</v>
      </c>
      <c r="G998" t="s">
        <v>19</v>
      </c>
      <c r="H998" s="1">
        <v>45409</v>
      </c>
      <c r="I998" s="1">
        <v>45499</v>
      </c>
      <c r="J998" t="s">
        <v>4718</v>
      </c>
      <c r="K998" t="s">
        <v>21</v>
      </c>
      <c r="L998" t="s">
        <v>22</v>
      </c>
      <c r="M998">
        <v>0.08</v>
      </c>
      <c r="N998" t="s">
        <v>4719</v>
      </c>
      <c r="O998">
        <f>61-402-408-47</f>
        <v>-796</v>
      </c>
      <c r="P998" t="s">
        <v>4720</v>
      </c>
    </row>
    <row r="999" spans="1:16" x14ac:dyDescent="0.45">
      <c r="A999" t="s">
        <v>4721</v>
      </c>
      <c r="B999">
        <v>32</v>
      </c>
      <c r="C999" t="s">
        <v>26</v>
      </c>
      <c r="D999" t="s">
        <v>67</v>
      </c>
      <c r="E999">
        <v>2508.12</v>
      </c>
      <c r="F999">
        <v>15842.09</v>
      </c>
      <c r="G999" t="s">
        <v>104</v>
      </c>
      <c r="H999" s="1">
        <v>45344</v>
      </c>
      <c r="I999" s="1">
        <v>45693</v>
      </c>
      <c r="J999" t="s">
        <v>4722</v>
      </c>
      <c r="K999" t="s">
        <v>28</v>
      </c>
      <c r="L999" t="s">
        <v>22</v>
      </c>
      <c r="M999">
        <v>0.49</v>
      </c>
      <c r="N999" t="s">
        <v>4723</v>
      </c>
      <c r="O999" t="s">
        <v>4724</v>
      </c>
      <c r="P999" t="s">
        <v>4725</v>
      </c>
    </row>
    <row r="1000" spans="1:16" x14ac:dyDescent="0.45">
      <c r="A1000" t="s">
        <v>4726</v>
      </c>
      <c r="B1000">
        <v>45</v>
      </c>
      <c r="C1000" t="s">
        <v>40</v>
      </c>
      <c r="D1000" t="s">
        <v>67</v>
      </c>
      <c r="E1000">
        <v>1915.35</v>
      </c>
      <c r="F1000">
        <v>5687.8</v>
      </c>
      <c r="G1000" t="s">
        <v>19</v>
      </c>
      <c r="H1000" s="1">
        <v>44978</v>
      </c>
      <c r="I1000" s="1">
        <v>45750</v>
      </c>
      <c r="J1000" t="s">
        <v>4727</v>
      </c>
      <c r="K1000" t="s">
        <v>50</v>
      </c>
      <c r="L1000" t="s">
        <v>43</v>
      </c>
      <c r="M1000">
        <v>0.84</v>
      </c>
      <c r="N1000" t="s">
        <v>4728</v>
      </c>
      <c r="O1000">
        <v>61297296729</v>
      </c>
      <c r="P1000" t="s">
        <v>4729</v>
      </c>
    </row>
    <row r="1001" spans="1:16" x14ac:dyDescent="0.45">
      <c r="A1001" t="s">
        <v>4730</v>
      </c>
      <c r="B1001">
        <v>66</v>
      </c>
      <c r="C1001" t="s">
        <v>66</v>
      </c>
      <c r="D1001" t="s">
        <v>41</v>
      </c>
      <c r="E1001">
        <v>2887.48</v>
      </c>
      <c r="F1001">
        <v>2583.56</v>
      </c>
      <c r="G1001" t="s">
        <v>19</v>
      </c>
      <c r="H1001" s="1">
        <v>45149</v>
      </c>
      <c r="I1001" s="1">
        <v>45693</v>
      </c>
      <c r="J1001" t="s">
        <v>4731</v>
      </c>
      <c r="K1001" t="s">
        <v>50</v>
      </c>
      <c r="L1001" t="s">
        <v>36</v>
      </c>
      <c r="M1001">
        <v>0.91</v>
      </c>
      <c r="N1001" t="s">
        <v>4732</v>
      </c>
      <c r="O1001" t="s">
        <v>4733</v>
      </c>
      <c r="P1001" t="s">
        <v>4734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australia_insurance_extended_mo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Drishtti Narwal</dc:creator>
  <cp:lastModifiedBy>Drishtti Narwal</cp:lastModifiedBy>
  <dcterms:created xsi:type="dcterms:W3CDTF">2025-08-11T16:30:19Z</dcterms:created>
  <dcterms:modified xsi:type="dcterms:W3CDTF">2025-08-12T07:27:20Z</dcterms:modified>
</cp:coreProperties>
</file>